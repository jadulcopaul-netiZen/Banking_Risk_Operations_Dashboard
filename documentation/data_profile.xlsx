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ul\desktop_data_engineering\Banking_Risk_Operations_Dashboard\documentation\"/>
    </mc:Choice>
  </mc:AlternateContent>
  <xr:revisionPtr revIDLastSave="0" documentId="13_ncr:1_{8174F2EA-8B7B-485A-89E6-6F80A8C10F59}" xr6:coauthVersionLast="47" xr6:coauthVersionMax="47" xr10:uidLastSave="{00000000-0000-0000-0000-000000000000}"/>
  <bookViews>
    <workbookView xWindow="-120" yWindow="-120" windowWidth="20730" windowHeight="11040" xr2:uid="{3319D298-27F1-4734-9B9F-00F3FCD34F33}"/>
  </bookViews>
  <sheets>
    <sheet name="01_column_inventory" sheetId="1" r:id="rId1"/>
    <sheet name="02_schema_validation" sheetId="2" r:id="rId2"/>
    <sheet name="03_missing_values" sheetId="3" r:id="rId3"/>
    <sheet name="04_duplicate_cardinal_analysis" sheetId="4" r:id="rId4"/>
    <sheet name="05_categorical_distribution" sheetId="6" r:id="rId5"/>
    <sheet name="06_descriptive_statistics" sheetId="5" r:id="rId6"/>
    <sheet name="07_business_behavior" sheetId="7" r:id="rId7"/>
  </sheets>
  <calcPr calcId="191029"/>
</workbook>
</file>

<file path=xl/calcChain.xml><?xml version="1.0" encoding="utf-8"?>
<calcChain xmlns="http://schemas.openxmlformats.org/spreadsheetml/2006/main">
  <c r="AB8" i="7" l="1"/>
  <c r="AB4" i="7"/>
  <c r="AB5" i="7"/>
  <c r="AB6" i="7"/>
  <c r="AB7" i="7"/>
  <c r="AB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3" i="7"/>
</calcChain>
</file>

<file path=xl/sharedStrings.xml><?xml version="1.0" encoding="utf-8"?>
<sst xmlns="http://schemas.openxmlformats.org/spreadsheetml/2006/main" count="292" uniqueCount="150">
  <si>
    <t>Column</t>
  </si>
  <si>
    <t>Business Meaning</t>
  </si>
  <si>
    <t>Category</t>
  </si>
  <si>
    <t>Initial Observation</t>
  </si>
  <si>
    <t>step</t>
  </si>
  <si>
    <t>integer</t>
  </si>
  <si>
    <t>Temporal data type, it determines which hour of the month is being recorded</t>
  </si>
  <si>
    <t>transaction attribute</t>
  </si>
  <si>
    <t>I observed that the values for steps started at 1 and ended somehwere at 270+ , which made me think if this is an actual timeframe, and turns out, this is the usual value of step for banking industries</t>
  </si>
  <si>
    <t>type</t>
  </si>
  <si>
    <t>string/varchar</t>
  </si>
  <si>
    <t>it’s a categorization on what specific type of transaction happened in what particular step</t>
  </si>
  <si>
    <t>The values for these are the type of transaction happened, which are cash in, payment, debit, etc. like the part of the transaction lifecycle.</t>
  </si>
  <si>
    <t>amount</t>
  </si>
  <si>
    <t>float</t>
  </si>
  <si>
    <t xml:space="preserve">It’s a measure or amount of the transaction used for weighing the impact of each </t>
  </si>
  <si>
    <t>measure</t>
  </si>
  <si>
    <t>The values for the amounts are different, but the format of data is the same, no commas and with decimals</t>
  </si>
  <si>
    <t>nameOrig</t>
  </si>
  <si>
    <t>varchar</t>
  </si>
  <si>
    <t>An information or unique ID of the user involved in the transaction</t>
  </si>
  <si>
    <t>Entity</t>
  </si>
  <si>
    <t>I observed that rows in this column always starts with letter (mostly C) and followed by numbers</t>
  </si>
  <si>
    <t>oldbalanceOrg</t>
  </si>
  <si>
    <t>same observation  with the amount, though it is an indication or the amount of the originating account before the transaction happens</t>
  </si>
  <si>
    <t>newbalanceOrig</t>
  </si>
  <si>
    <t>same observation  with the amount, though it is an indication or the amount of the originating account after the transaction happens</t>
  </si>
  <si>
    <t>nameDest</t>
  </si>
  <si>
    <t>oldbalanceDest</t>
  </si>
  <si>
    <t>same observation  with the amount, though it is an indication or the amount of the destination account before the transaction happens</t>
  </si>
  <si>
    <t>newbalanceDest</t>
  </si>
  <si>
    <t>same observation  with the amount, though it is an indication or the amount of the destination account after the transaction happens</t>
  </si>
  <si>
    <t>isFraud</t>
  </si>
  <si>
    <t>boolean</t>
  </si>
  <si>
    <t>Indication whether the transaction is fraudulent, used to aggregate fraud rate</t>
  </si>
  <si>
    <t>Fraud Indicator</t>
  </si>
  <si>
    <t>Values are 1 and 0 to indicate Fraud(1) and not Fraud(0)</t>
  </si>
  <si>
    <t>isFlaggedFraud</t>
  </si>
  <si>
    <t>Values are 1 and 0 to indicate Fraud(1) and not Fraud(0), I think the difference of this from the isFraud is the status, isFraud is final while isFlaggedFraud might be a situational not yet confirmed fraudulent transaction</t>
  </si>
  <si>
    <t>Expected Data Type</t>
  </si>
  <si>
    <t>Whole number representing temporal indication</t>
  </si>
  <si>
    <t>Text that indicates type of transaction</t>
  </si>
  <si>
    <t>Decimal number of the transaction amount</t>
  </si>
  <si>
    <t>Decimal number of the balance</t>
  </si>
  <si>
    <t xml:space="preserve">Text that indicates unique ID </t>
  </si>
  <si>
    <t>Boolean value of 1 and 0</t>
  </si>
  <si>
    <t>Missing Values</t>
  </si>
  <si>
    <t>Percentage %</t>
  </si>
  <si>
    <t>Verdict</t>
  </si>
  <si>
    <t>no missing values</t>
  </si>
  <si>
    <t>Count of rows</t>
  </si>
  <si>
    <t>Duplicate values</t>
  </si>
  <si>
    <t xml:space="preserve">acceptable duplicates since step is a temporal indication of the transaction, unique transactions can happen at the same time. </t>
  </si>
  <si>
    <t xml:space="preserve">Most of the transaction amounts are unique, ony 100k amount transaction stood out with 105 counts of duplicate, while the rest are 3 and 2, but most are 1. Totally normal observation </t>
  </si>
  <si>
    <t>Note:</t>
  </si>
  <si>
    <t>Used Pivottable from the 200k dataset csv file using the Count as aggregation on Values in each columns</t>
  </si>
  <si>
    <t>I used Pivottable to arrange them, and copied the result to a plain cell and did filter from it to ensure faster retrieval, since filtering it in the Pivottable is going to be slow and tedious</t>
  </si>
  <si>
    <t>Only 9 unique nameOrig has been found with 2 each transactions, checked that all of them have different amount, still acceptable and not a major change since one name can have multiple transaction in real life scenario.</t>
  </si>
  <si>
    <t>41% of rows are duplicate amounts, representing 66k counts of balance of zeros, which totally makes sense since balance can be duplicated in this dataset.</t>
  </si>
  <si>
    <t>56% of rows are duplicate amounts, representing 113k counts of balance of zeros, which totally makes sense since balance can be duplicated in this dataset.</t>
  </si>
  <si>
    <t xml:space="preserve">10% or 20k counts of unique nameID similar to nameOrig datatype, showed duplicate values or counts of transaction up to 8 times on some, will be thoroughly checking this one as this might be a top driver for fraudulent transaction. </t>
  </si>
  <si>
    <t>Only 56 unique old balances have been found duplicates with 2 - 13 counts of occurrence while 84k counts of rows have a balance of zero. Totally normal for transactions.</t>
  </si>
  <si>
    <t>Only 480 unique old balances have been found duplicates with 2 - 4 counts of occurrence while 76k  counts of rows have a balance of zero. Totally normal for transactions.</t>
  </si>
  <si>
    <t>Since this is a boolean datatype of 1 and 0, counted the value of 0 which has 99.8% or 199732 counts whereas 268 counts of 1 are recorded. Hence, showing high rate of legitimate transactions</t>
  </si>
  <si>
    <t xml:space="preserve">only one count of 1 flaggedfraud in this column, and all of 199999 rows are 0s. </t>
  </si>
  <si>
    <t>acceptable duplicates since type is a transaction attribute, unique transactions can happen with its corresponding attribute. Types are CASH_IN, CASH_OUT, DEBIT, PAYMENT, and TRANSFER all with counts of duplicates summarizing to 200k rows</t>
  </si>
  <si>
    <t>Observation</t>
  </si>
  <si>
    <t>Dataset Column</t>
  </si>
  <si>
    <t>Count</t>
  </si>
  <si>
    <t>Min</t>
  </si>
  <si>
    <t>Max</t>
  </si>
  <si>
    <t>Median</t>
  </si>
  <si>
    <t>Std Dev</t>
  </si>
  <si>
    <t>Mean (Average)</t>
  </si>
  <si>
    <t>N/A</t>
  </si>
  <si>
    <r>
      <t xml:space="preserve">The dataset covers </t>
    </r>
    <r>
      <rPr>
        <b/>
        <sz val="11"/>
        <color theme="1"/>
        <rFont val="Calibri"/>
        <family val="2"/>
        <scheme val="minor"/>
      </rPr>
      <t>736 simulated hours</t>
    </r>
    <r>
      <rPr>
        <sz val="11"/>
        <color theme="1"/>
        <rFont val="Calibri"/>
        <family val="2"/>
        <scheme val="minor"/>
      </rPr>
      <t xml:space="preserve">, which is approximately </t>
    </r>
    <r>
      <rPr>
        <b/>
        <sz val="11"/>
        <color theme="1"/>
        <rFont val="Calibri"/>
        <family val="2"/>
        <scheme val="minor"/>
      </rPr>
      <t>31 days</t>
    </r>
    <r>
      <rPr>
        <sz val="11"/>
        <color theme="1"/>
        <rFont val="Calibri"/>
        <family val="2"/>
        <scheme val="minor"/>
      </rPr>
      <t xml:space="preserve"> of transaction activity. This provides enough time to analyze transaction trends over time.</t>
    </r>
  </si>
  <si>
    <t>Most transactions are relatively small, while a few transactions have very large amounts. This explains why the average transaction amount is much higher than the middle value (median).</t>
  </si>
  <si>
    <t>Account balances before transactions vary greatly. Most accounts have lower balances, while a smaller number of accounts hold significantly larger balances.</t>
  </si>
  <si>
    <r>
      <t xml:space="preserve">More than half of the transactions resulted in a balance of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for the originating account, indicating that many accounts were emptied after the transaction.</t>
    </r>
  </si>
  <si>
    <t>Destination account balances before transactions vary widely, ranging from zero to very large amounts.</t>
  </si>
  <si>
    <t>Destination account balances after transactions also show a wide range of values, indicating that some accounts receive much larger amounts than others.</t>
  </si>
  <si>
    <t>This is a categorical field containing transaction types (e.g., CASH_IN, CASH_OUT, PAYMENT, TRANSFER, DEBIT). Descriptive statistics are not applicable. It is better analyzed using frequency counts and transaction distribution.</t>
  </si>
  <si>
    <t>This is a unique account identifier for the originating account. Descriptive statistics are not applicable. It is better analyzed through uniqueness, duplicate counts, and relationships with transaction activity.</t>
  </si>
  <si>
    <t>This is a unique account identifier for the destination account. Descriptive statistics are not applicable. It is better analyzed through uniqueness, duplicate counts, and transaction frequency to identify accounts involved in multiple transactions.</t>
  </si>
  <si>
    <t>Percentage</t>
  </si>
  <si>
    <t>CASH_IN</t>
  </si>
  <si>
    <t>CASH_OUT</t>
  </si>
  <si>
    <t>DEBIT</t>
  </si>
  <si>
    <t>PAYMENT</t>
  </si>
  <si>
    <t>TRANSFER</t>
  </si>
  <si>
    <t>Represents approximately one-fifth of all transactions, indicating frequent account funding activities.</t>
  </si>
  <si>
    <t>Highest transaction type in the dataset, indicating cash withdrawal is the most common transaction activity.</t>
  </si>
  <si>
    <t>Least common transaction type, representing only a small portion of overall transaction volume.</t>
  </si>
  <si>
    <t>Second most frequent transaction type, showing that payment transactions make up a significant portion of the dataset.</t>
  </si>
  <si>
    <t>Represents a relatively small share of transactions compared to CASH_OUT and PAYMENT.</t>
  </si>
  <si>
    <t>The vast majority of transactions are legitimate, indicating a highly imbalanced dataset.</t>
  </si>
  <si>
    <t>Fraudulent transactions are very rare, making fraud detection a minority-class problem.</t>
  </si>
  <si>
    <t>Almost every transaction was not flagged by the system.</t>
  </si>
  <si>
    <t>Only one transaction was flagged as fraud, suggesting that automatic fraud flagging is extremely uncommon in this dataset and should be investigated further during business behavior analysis.</t>
  </si>
  <si>
    <t>`</t>
  </si>
  <si>
    <t>Row Labels</t>
  </si>
  <si>
    <t>Grand Total</t>
  </si>
  <si>
    <t>Type</t>
  </si>
  <si>
    <t>Legitimate</t>
  </si>
  <si>
    <t>Fraud</t>
  </si>
  <si>
    <t>Total</t>
  </si>
  <si>
    <t>Complete</t>
  </si>
  <si>
    <t>All cash_in transactions are legitimate. Hence, physical transaction of cashing in doesn't perceived as fraud prone</t>
  </si>
  <si>
    <t>All debit transactions are legitimate. Hence, it doesn't perceived as fraud prone</t>
  </si>
  <si>
    <t>All payment transactions are legitimate. Hence, it doesn't perceived as fraud prone</t>
  </si>
  <si>
    <t>0.176% of total cash_out transactions are flagged as fraudulent. Possible interference or premeditated action was done to incur fraudulent transactions</t>
  </si>
  <si>
    <t>0.86% of total transfer are flagged as fraudulent, indicating online existence of fraudulent activity</t>
  </si>
  <si>
    <t>Fraudulent activity in the sampled dataset is concentrated exclusively in CASH_OUT and TRANSFER transactions. TRANSFER demonstrates the highest fraud rate at approximately 0.86%, while CASH_OUT accounts for 124 fraudulent transactions at approximately 0.18%. No fraudulent transactions were observed in CASH_IN, DEBIT, or PAYMENT within the sampled dataset.</t>
  </si>
  <si>
    <t>Steps</t>
  </si>
  <si>
    <t>Fraud by Transaction Type</t>
  </si>
  <si>
    <t xml:space="preserve"> Findings:</t>
  </si>
  <si>
    <t>Findings:</t>
  </si>
  <si>
    <t>Fraud Activity by Simulation Step (Sorted)</t>
  </si>
  <si>
    <t>Fraud Rate</t>
  </si>
  <si>
    <t>Fraudulent activity is distributed across a wide range of simulation steps, with most individual steps recording only one or two fraudulent transactions. A few steps show higher concentrations, but there is no obvious sustained period of elevated fraud activity in the sampled dataset.</t>
  </si>
  <si>
    <t>Metric</t>
  </si>
  <si>
    <t>Minimum Amount</t>
  </si>
  <si>
    <t>Maximum Amount</t>
  </si>
  <si>
    <t>Average Amount</t>
  </si>
  <si>
    <t>Median Amount</t>
  </si>
  <si>
    <t>Standard Deviation</t>
  </si>
  <si>
    <t>Mean</t>
  </si>
  <si>
    <t>Distribution Signal</t>
  </si>
  <si>
    <t>Interpretation</t>
  </si>
  <si>
    <t>Mean &gt;&gt; Median</t>
  </si>
  <si>
    <t>Right-skewed</t>
  </si>
  <si>
    <t>Mean &gt; Median</t>
  </si>
  <si>
    <t>Likely right-skewed</t>
  </si>
  <si>
    <t>Highly concentrated at zero</t>
  </si>
  <si>
    <t>Mean &lt; Median</t>
  </si>
  <si>
    <t>Requires further inspection</t>
  </si>
  <si>
    <t>Fraud Activity by Transaction Amount</t>
  </si>
  <si>
    <t>Legitimate (J=0)</t>
  </si>
  <si>
    <t>Fraud (J=1)</t>
  </si>
  <si>
    <t>Fraud Activity by Amount Range</t>
  </si>
  <si>
    <t>0.01–10K</t>
  </si>
  <si>
    <t>100K–1M</t>
  </si>
  <si>
    <t>10K–100K</t>
  </si>
  <si>
    <t>1M–10M</t>
  </si>
  <si>
    <t>&gt;10M</t>
  </si>
  <si>
    <t>Fraudulent transactions represent only 0.134% of the sample, but their average amount is about 7.3× higher than legitimate transactions. The median fraud amount is also higher at 429,350.67 compared with 75,577.51 for legitimate transactions. Fraud amounts vary widely, reaching 10 million, with a standard deviation of about 2.14 million. This shows that although fraudulent transactions are relatively rare, they can involve significantly larger amounts and create substantial financial exposure.</t>
  </si>
  <si>
    <t>Almost half of the fraudulent transactions (119 of 268) fall within the ₱100K–₱1M range. The ₱1M–₱10M range has the highest fraud rate at 2.13%, showing that higher-value transactions have a greater proportion of fraud in this sample. Although fraud cases are relatively few, they are more concentrated in higher-value transactions, which can create significant financial exposure.</t>
  </si>
  <si>
    <t>Identifier for the destination-side participant/entity in the transaction</t>
  </si>
  <si>
    <t>Entity Identifier / Transaction Reference</t>
  </si>
  <si>
    <t>Present even when a conventional destination is not apparent, suggesting it serves as a PaySim reference to the other simulated participant.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</si>
</sst>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%"/>
    <numFmt numFmtId="166" formatCode="0.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9" fontId="0" fillId="0" borderId="0" xfId="42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9" fontId="0" fillId="0" borderId="0" xfId="42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164" fontId="0" fillId="0" borderId="0" xfId="42" applyNumberFormat="1" applyFont="1" applyAlignment="1">
      <alignment horizontal="left" vertical="top"/>
    </xf>
    <xf numFmtId="10" fontId="0" fillId="0" borderId="0" xfId="42" applyNumberFormat="1" applyFont="1" applyAlignment="1">
      <alignment horizontal="left" vertical="top"/>
    </xf>
    <xf numFmtId="165" fontId="0" fillId="0" borderId="0" xfId="42" applyNumberFormat="1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9" fontId="0" fillId="0" borderId="0" xfId="42" applyFont="1" applyAlignment="1">
      <alignment horizontal="right" vertical="center" wrapText="1"/>
    </xf>
    <xf numFmtId="10" fontId="0" fillId="0" borderId="0" xfId="42" applyNumberFormat="1" applyFont="1" applyAlignment="1">
      <alignment horizontal="right" vertical="center" wrapText="1"/>
    </xf>
    <xf numFmtId="165" fontId="0" fillId="0" borderId="0" xfId="42" applyNumberFormat="1" applyFont="1" applyAlignment="1">
      <alignment horizontal="right" vertical="center" wrapText="1"/>
    </xf>
    <xf numFmtId="0" fontId="0" fillId="0" borderId="13" xfId="0" applyBorder="1"/>
    <xf numFmtId="166" fontId="0" fillId="0" borderId="0" xfId="42" applyNumberFormat="1" applyFont="1" applyAlignment="1">
      <alignment horizontal="left" vertical="top" wrapText="1"/>
    </xf>
    <xf numFmtId="10" fontId="0" fillId="0" borderId="0" xfId="42" applyNumberFormat="1" applyFont="1"/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left" vertical="top"/>
    </xf>
    <xf numFmtId="2" fontId="0" fillId="0" borderId="10" xfId="0" applyNumberForma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6" fillId="33" borderId="0" xfId="0" applyFont="1" applyFill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0" borderId="13" xfId="0" applyBorder="1" applyAlignment="1">
      <alignment horizontal="center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4" formatCode="0.00%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FB25A-B110-40CA-A774-8C7D62E953F2}" name="Table1" displayName="Table1" ref="A1:D12" totalsRowShown="0" dataDxfId="57">
  <autoFilter ref="A1:D12" xr:uid="{30CFB25A-B110-40CA-A774-8C7D62E953F2}"/>
  <tableColumns count="4">
    <tableColumn id="1" xr3:uid="{5B15A047-7C3A-44DD-9F2E-606C8E6438ED}" name="Column" dataDxfId="56"/>
    <tableColumn id="3" xr3:uid="{B45AA474-C42F-4B92-A277-4F0306D27033}" name="Business Meaning" dataDxfId="55"/>
    <tableColumn id="4" xr3:uid="{E1D64404-535A-4A56-9542-FA09510A3513}" name="Category" dataDxfId="54"/>
    <tableColumn id="5" xr3:uid="{7746C5CB-F80D-4EDD-A48E-FAEDFC015F5B}" name="Initial Observation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00B9EF-36AB-4509-87BA-CD9D1FE3D8FB}" name="Table2" displayName="Table2" ref="A1:C12" totalsRowShown="0" dataDxfId="52">
  <autoFilter ref="A1:C12" xr:uid="{F400B9EF-36AB-4509-87BA-CD9D1FE3D8FB}"/>
  <tableColumns count="3">
    <tableColumn id="1" xr3:uid="{510147CF-E368-4945-A12B-E5D84DF18E9E}" name="Column" dataDxfId="51"/>
    <tableColumn id="2" xr3:uid="{2DE0A641-53BB-4FF9-86D2-5F50337B3C83}" name="Expected Data Type" dataDxfId="50"/>
    <tableColumn id="5" xr3:uid="{45FB9F9B-71E2-413B-8E57-2123E494132E}" name="Initial Observation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533E16-C0FC-4D15-91F4-98F082E23394}" name="Table245" displayName="Table245" ref="A1:D12" totalsRowShown="0" dataDxfId="48">
  <autoFilter ref="A1:D12" xr:uid="{90533E16-C0FC-4D15-91F4-98F082E23394}"/>
  <tableColumns count="4">
    <tableColumn id="1" xr3:uid="{53A1B075-8B38-46B1-A639-313B9A40B770}" name="`" dataDxfId="47"/>
    <tableColumn id="2" xr3:uid="{9C77CF3A-7F71-4E62-B925-A3F9A102762F}" name="Missing Values" dataDxfId="46"/>
    <tableColumn id="5" xr3:uid="{797DE452-8959-42AA-ACB4-EC60F86D9858}" name="Percentage %" dataDxfId="45" dataCellStyle="Percent"/>
    <tableColumn id="6" xr3:uid="{AA61396E-B697-4EC2-BDF9-0F1366BEE4B0}" name="Verdict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98F7E7-C70E-4588-80EF-36B128623EF1}" name="Table2456" displayName="Table2456" ref="A1:D13" totalsRowShown="0" dataDxfId="43">
  <autoFilter ref="A1:D13" xr:uid="{D698F7E7-C70E-4588-80EF-36B128623EF1}"/>
  <tableColumns count="4">
    <tableColumn id="1" xr3:uid="{0F49EBD7-69D6-4C58-85C5-6457CEA3D80C}" name="Column" dataDxfId="42"/>
    <tableColumn id="2" xr3:uid="{FBA239F1-7B2F-4610-8555-622E9ABCA794}" name="Count of rows" dataDxfId="41"/>
    <tableColumn id="5" xr3:uid="{851B8343-C5B0-486A-B956-4B0A5F49E800}" name="Duplicate values" dataDxfId="40" dataCellStyle="Percent"/>
    <tableColumn id="6" xr3:uid="{A71F8027-AE4A-4304-8A4F-4899345B3854}" name="Observation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ABA757-7EDA-4AC6-ACFF-BAA7F1399A51}" name="Table79" displayName="Table79" ref="A1:E6" totalsRowShown="0" headerRowDxfId="38" dataDxfId="37">
  <tableColumns count="5">
    <tableColumn id="1" xr3:uid="{8DD4A8AC-F381-4D32-A978-D3F7FDFEACA3}" name="Column" dataDxfId="36"/>
    <tableColumn id="2" xr3:uid="{B24111E3-AB17-4A96-9AAE-CA46BC23EF99}" name="Category" dataDxfId="35"/>
    <tableColumn id="3" xr3:uid="{D4DACB3F-6AC1-41FD-87B3-B0087166C1A2}" name="Count" dataDxfId="34"/>
    <tableColumn id="4" xr3:uid="{A5B5C5C6-C594-4340-B268-884DF676DB01}" name="Percentage" dataDxfId="33" dataCellStyle="Percent"/>
    <tableColumn id="5" xr3:uid="{8C5BFD1A-874F-403A-B616-9A7814BDC629}" name="Observation" dataDxfId="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6F6D70-93A3-462A-B698-335997BEE0BE}" name="Table3" displayName="Table3" ref="A9:E11" totalsRowShown="0" headerRowDxfId="31" dataDxfId="30">
  <tableColumns count="5">
    <tableColumn id="1" xr3:uid="{4E657AA6-B804-4E20-9A84-9B729D50D777}" name="Column" dataDxfId="29"/>
    <tableColumn id="2" xr3:uid="{26E0D82B-B478-4150-9336-FE6272A558E7}" name="Category" dataDxfId="28"/>
    <tableColumn id="3" xr3:uid="{BEE1F600-482A-4E23-88A3-4DC6B3350F2C}" name="Count" dataDxfId="27"/>
    <tableColumn id="4" xr3:uid="{22FC9AD0-87CE-4266-9F3D-FDB6AB2106E4}" name="Percentage" dataDxfId="26" dataCellStyle="Percent"/>
    <tableColumn id="5" xr3:uid="{FE3C3887-EA9D-40B7-9D6E-A4D6004CF64C}" name="Observation" dataDxfId="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065F93-BEE8-40B4-B22C-289993CB46E9}" name="Table4" displayName="Table4" ref="A14:E16" totalsRowShown="0" headerRowDxfId="24" dataDxfId="23">
  <tableColumns count="5">
    <tableColumn id="1" xr3:uid="{10871497-7AA3-46A5-AF4C-8652F47CEB88}" name="Column" dataDxfId="22"/>
    <tableColumn id="2" xr3:uid="{E3396FE1-8D4F-4F15-98AE-083EACF888F1}" name="Category" dataDxfId="21"/>
    <tableColumn id="3" xr3:uid="{66664394-4933-4356-9280-C66A44E5BF04}" name="Count" dataDxfId="20"/>
    <tableColumn id="4" xr3:uid="{F11FDAB4-4B11-43C9-9DD6-42CC6B110232}" name="Percentage" dataDxfId="19" dataCellStyle="Percent"/>
    <tableColumn id="5" xr3:uid="{3A4E3723-A40E-4775-B5F8-03DD19B82E03}" name="Observation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F84CD6-DE0A-4831-84D9-2E937C174A79}" name="Table6" displayName="Table6" ref="A1:H10" totalsRowShown="0" headerRowDxfId="17" dataDxfId="16" tableBorderDxfId="15">
  <tableColumns count="8">
    <tableColumn id="1" xr3:uid="{C232DB12-0C08-434F-B867-FC56EBF868F3}" name="Dataset Column" dataDxfId="14"/>
    <tableColumn id="2" xr3:uid="{F799A6A8-E544-4B2E-9ADB-C525723318E0}" name="Count" dataDxfId="13"/>
    <tableColumn id="3" xr3:uid="{85EEA219-A033-4FCE-B41A-F20AC61C046D}" name="Min" dataDxfId="12"/>
    <tableColumn id="4" xr3:uid="{8BE08D18-0EDE-4DE9-9E44-4AF02C11B7A9}" name="Max" dataDxfId="11"/>
    <tableColumn id="5" xr3:uid="{A0020A0F-AE22-47DA-B207-EC699D9ED5A9}" name="Mean (Average)" dataDxfId="10"/>
    <tableColumn id="6" xr3:uid="{D952046E-8408-4F7B-AF24-8E2D62A91574}" name="Median" dataDxfId="9"/>
    <tableColumn id="7" xr3:uid="{9A9784DA-1590-44FF-86F6-E99C2CFFA2FE}" name="Std Dev" dataDxfId="8"/>
    <tableColumn id="8" xr3:uid="{F5F92197-FF4A-47FB-B8F8-9B2EF62BA89F}" name="Observation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C4ADB3-2E35-4E93-88CF-8C8FBB424E16}" name="Table14" displayName="Table14" ref="A13:E18" totalsRowShown="0" headerRowDxfId="6" dataDxfId="5">
  <tableColumns count="5">
    <tableColumn id="1" xr3:uid="{E922106F-FDB6-4D33-B408-8869C13A6307}" name="Column" dataDxfId="4"/>
    <tableColumn id="2" xr3:uid="{EE6D5184-5DD8-4AFB-880E-2DC77625702F}" name="Mean" dataDxfId="3"/>
    <tableColumn id="3" xr3:uid="{ECCB1471-F048-4E7B-B674-F296AE18DA79}" name="Median" dataDxfId="2"/>
    <tableColumn id="4" xr3:uid="{40A5E7BB-34D9-4C04-AD67-1ABD9E078A7F}" name="Distribution Signal" dataDxfId="1"/>
    <tableColumn id="5" xr3:uid="{5A9BE3BE-D732-46F4-A012-326B0DB46F1E}" name="Interpretation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4810333-B29F-4E0E-BB43-A156301C3877}" name="Table11" displayName="Table11" ref="A2:E8" totalsRowShown="0" dataDxfId="78">
  <tableColumns count="5">
    <tableColumn id="1" xr3:uid="{94CDF1DA-7D7F-480B-B82F-598F7186909E}" name="Type" dataDxfId="77"/>
    <tableColumn id="2" xr3:uid="{E410FF57-E92D-4B7F-9DBC-A548073E6E53}" name="Legitimate" dataDxfId="76"/>
    <tableColumn id="3" xr3:uid="{253EA719-3BDE-40B1-BD8C-5DE5B345C3AF}" name="Fraud" dataDxfId="75"/>
    <tableColumn id="4" xr3:uid="{306428C4-6B47-4432-99DD-4C7F4BC75DD0}" name="Total" dataDxfId="74"/>
    <tableColumn id="5" xr3:uid="{3C4F75BA-3467-4AAD-8DC7-AE80D8729840}" name="Observation" dataDxfId="7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FA87B2-EEDC-45C0-B694-0FE40841DF20}" name="Table213" displayName="Table213" ref="G2:K516" totalsRowShown="0" dataDxfId="72">
  <sortState xmlns:xlrd2="http://schemas.microsoft.com/office/spreadsheetml/2017/richdata2" ref="G3:J516">
    <sortCondition descending="1" ref="I5:I519"/>
  </sortState>
  <tableColumns count="5">
    <tableColumn id="1" xr3:uid="{CEA41E4F-1FE1-4D4F-8B8C-871021AC1CAF}" name="Steps" dataDxfId="71"/>
    <tableColumn id="2" xr3:uid="{2D14894A-BD50-44C1-B578-A3294221270C}" name="Legitimate" dataDxfId="70"/>
    <tableColumn id="3" xr3:uid="{8E152714-0957-4417-B378-52E275A895B5}" name="Fraud" dataDxfId="69"/>
    <tableColumn id="4" xr3:uid="{67397053-5425-450D-ADAE-A20249B278D6}" name="Grand Total" dataDxfId="68"/>
    <tableColumn id="5" xr3:uid="{13C59FB4-5CA0-4260-89C8-C52B326808B8}" name="Fraud Rate" dataDxfId="67" dataCellStyle="Percent">
      <calculatedColumnFormula>Table213[[#This Row],[Fraud]]/Table213[[#This Row],[Grand Total]]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6E1871C-0203-4A5E-A63B-8695207A3017}" name="Table13" displayName="Table13" ref="R2:T8" totalsRowShown="0">
  <tableColumns count="3">
    <tableColumn id="1" xr3:uid="{E702BF2F-3DCB-49D9-8A3C-5822F8EF5BF9}" name="Metric" dataDxfId="66"/>
    <tableColumn id="2" xr3:uid="{65164A23-D8F4-4B42-8CFF-0EAE2D23C606}" name="Legitimate (J=0)" dataDxfId="65"/>
    <tableColumn id="3" xr3:uid="{C7354E08-D479-4332-98C9-910593EB736A}" name="Fraud (J=1)" dataDxfId="6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514ECD5-DBE7-44B3-A0FD-B5AB81E82876}" name="Table15" displayName="Table15" ref="X2:AB8" totalsRowShown="0" dataDxfId="63">
  <tableColumns count="5">
    <tableColumn id="1" xr3:uid="{E9D06C0D-F183-4665-A60A-4B88FE5E2741}" name="Row Labels" dataDxfId="62"/>
    <tableColumn id="2" xr3:uid="{F21A6617-6713-466B-B634-B172C1BC79FF}" name="Legitimate" dataDxfId="61"/>
    <tableColumn id="3" xr3:uid="{3E78F616-19B6-4AFC-B740-DEF28E26B6BC}" name="Fraud" dataDxfId="60"/>
    <tableColumn id="4" xr3:uid="{DDC6320F-9C1B-48AF-AC87-17636C323D17}" name="Grand Total" dataDxfId="59"/>
    <tableColumn id="5" xr3:uid="{FA116E82-BD51-4AFF-91A1-DFC4C57AED87}" name="Fraud Rate" dataDxfId="58" dataCellStyle="Percent">
      <calculatedColumnFormula>Table15[[#This Row],[Fraud]]/Table15[[#This Row],[Grand Total]]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B741-9C0A-4C85-B1FB-0E8B0DCCE076}">
  <dimension ref="A1:D12"/>
  <sheetViews>
    <sheetView tabSelected="1" workbookViewId="0"/>
  </sheetViews>
  <sheetFormatPr defaultRowHeight="15" x14ac:dyDescent="0.25"/>
  <cols>
    <col min="1" max="1" width="15.85546875" bestFit="1" customWidth="1"/>
    <col min="2" max="2" width="81.85546875" bestFit="1" customWidth="1"/>
    <col min="3" max="3" width="19.42578125" bestFit="1" customWidth="1"/>
    <col min="4" max="4" width="19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7" t="s">
        <v>4</v>
      </c>
      <c r="B2" s="7" t="s">
        <v>6</v>
      </c>
      <c r="C2" s="7" t="s">
        <v>7</v>
      </c>
      <c r="D2" s="7" t="s">
        <v>8</v>
      </c>
    </row>
    <row r="3" spans="1:4" x14ac:dyDescent="0.25">
      <c r="A3" s="7" t="s">
        <v>9</v>
      </c>
      <c r="B3" s="7" t="s">
        <v>11</v>
      </c>
      <c r="C3" s="7" t="s">
        <v>7</v>
      </c>
      <c r="D3" s="7" t="s">
        <v>12</v>
      </c>
    </row>
    <row r="4" spans="1:4" x14ac:dyDescent="0.25">
      <c r="A4" s="7" t="s">
        <v>13</v>
      </c>
      <c r="B4" s="7" t="s">
        <v>15</v>
      </c>
      <c r="C4" s="7" t="s">
        <v>16</v>
      </c>
      <c r="D4" s="7" t="s">
        <v>17</v>
      </c>
    </row>
    <row r="5" spans="1:4" x14ac:dyDescent="0.25">
      <c r="A5" s="7" t="s">
        <v>18</v>
      </c>
      <c r="B5" s="7" t="s">
        <v>20</v>
      </c>
      <c r="C5" s="7" t="s">
        <v>21</v>
      </c>
      <c r="D5" s="7" t="s">
        <v>22</v>
      </c>
    </row>
    <row r="6" spans="1:4" x14ac:dyDescent="0.25">
      <c r="A6" s="7" t="s">
        <v>23</v>
      </c>
      <c r="B6" s="7" t="s">
        <v>15</v>
      </c>
      <c r="C6" s="7" t="s">
        <v>16</v>
      </c>
      <c r="D6" s="7" t="s">
        <v>24</v>
      </c>
    </row>
    <row r="7" spans="1:4" x14ac:dyDescent="0.25">
      <c r="A7" s="7" t="s">
        <v>25</v>
      </c>
      <c r="B7" s="7" t="s">
        <v>15</v>
      </c>
      <c r="C7" s="7" t="s">
        <v>16</v>
      </c>
      <c r="D7" s="7" t="s">
        <v>26</v>
      </c>
    </row>
    <row r="8" spans="1:4" x14ac:dyDescent="0.25">
      <c r="A8" s="7" t="s">
        <v>27</v>
      </c>
      <c r="B8" s="7" t="s">
        <v>147</v>
      </c>
      <c r="C8" s="7" t="s">
        <v>148</v>
      </c>
      <c r="D8" s="7" t="s">
        <v>149</v>
      </c>
    </row>
    <row r="9" spans="1:4" x14ac:dyDescent="0.25">
      <c r="A9" s="7" t="s">
        <v>28</v>
      </c>
      <c r="B9" s="7" t="s">
        <v>15</v>
      </c>
      <c r="C9" s="7" t="s">
        <v>16</v>
      </c>
      <c r="D9" s="7" t="s">
        <v>29</v>
      </c>
    </row>
    <row r="10" spans="1:4" x14ac:dyDescent="0.25">
      <c r="A10" s="7" t="s">
        <v>30</v>
      </c>
      <c r="B10" s="7" t="s">
        <v>15</v>
      </c>
      <c r="C10" s="7" t="s">
        <v>16</v>
      </c>
      <c r="D10" s="7" t="s">
        <v>31</v>
      </c>
    </row>
    <row r="11" spans="1:4" x14ac:dyDescent="0.25">
      <c r="A11" s="7" t="s">
        <v>32</v>
      </c>
      <c r="B11" s="7" t="s">
        <v>34</v>
      </c>
      <c r="C11" s="7" t="s">
        <v>35</v>
      </c>
      <c r="D11" s="7" t="s">
        <v>36</v>
      </c>
    </row>
    <row r="12" spans="1:4" x14ac:dyDescent="0.25">
      <c r="A12" s="7" t="s">
        <v>37</v>
      </c>
      <c r="B12" s="7" t="s">
        <v>34</v>
      </c>
      <c r="C12" s="7" t="s">
        <v>35</v>
      </c>
      <c r="D12" s="7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D9C8-5B74-49BC-8F70-9AF346C0D494}">
  <dimension ref="A1:C12"/>
  <sheetViews>
    <sheetView workbookViewId="0"/>
  </sheetViews>
  <sheetFormatPr defaultRowHeight="15" x14ac:dyDescent="0.25"/>
  <cols>
    <col min="1" max="1" width="15.85546875" bestFit="1" customWidth="1"/>
    <col min="2" max="2" width="20.85546875" bestFit="1" customWidth="1"/>
    <col min="3" max="3" width="45.140625" bestFit="1" customWidth="1"/>
  </cols>
  <sheetData>
    <row r="1" spans="1:3" x14ac:dyDescent="0.25">
      <c r="A1" t="s">
        <v>0</v>
      </c>
      <c r="B1" t="s">
        <v>39</v>
      </c>
      <c r="C1" t="s">
        <v>3</v>
      </c>
    </row>
    <row r="2" spans="1:3" x14ac:dyDescent="0.25">
      <c r="A2" s="7" t="s">
        <v>4</v>
      </c>
      <c r="B2" s="7" t="s">
        <v>5</v>
      </c>
      <c r="C2" s="7" t="s">
        <v>40</v>
      </c>
    </row>
    <row r="3" spans="1:3" x14ac:dyDescent="0.25">
      <c r="A3" s="7" t="s">
        <v>9</v>
      </c>
      <c r="B3" s="7" t="s">
        <v>10</v>
      </c>
      <c r="C3" s="7" t="s">
        <v>41</v>
      </c>
    </row>
    <row r="4" spans="1:3" x14ac:dyDescent="0.25">
      <c r="A4" s="7" t="s">
        <v>13</v>
      </c>
      <c r="B4" s="7" t="s">
        <v>14</v>
      </c>
      <c r="C4" s="7" t="s">
        <v>42</v>
      </c>
    </row>
    <row r="5" spans="1:3" x14ac:dyDescent="0.25">
      <c r="A5" s="7" t="s">
        <v>18</v>
      </c>
      <c r="B5" s="7" t="s">
        <v>19</v>
      </c>
      <c r="C5" s="7" t="s">
        <v>44</v>
      </c>
    </row>
    <row r="6" spans="1:3" x14ac:dyDescent="0.25">
      <c r="A6" s="7" t="s">
        <v>23</v>
      </c>
      <c r="B6" s="7" t="s">
        <v>14</v>
      </c>
      <c r="C6" s="7" t="s">
        <v>43</v>
      </c>
    </row>
    <row r="7" spans="1:3" x14ac:dyDescent="0.25">
      <c r="A7" s="7" t="s">
        <v>25</v>
      </c>
      <c r="B7" s="7" t="s">
        <v>14</v>
      </c>
      <c r="C7" s="7" t="s">
        <v>43</v>
      </c>
    </row>
    <row r="8" spans="1:3" x14ac:dyDescent="0.25">
      <c r="A8" s="7" t="s">
        <v>27</v>
      </c>
      <c r="B8" s="7" t="s">
        <v>19</v>
      </c>
      <c r="C8" s="7" t="s">
        <v>44</v>
      </c>
    </row>
    <row r="9" spans="1:3" x14ac:dyDescent="0.25">
      <c r="A9" s="7" t="s">
        <v>28</v>
      </c>
      <c r="B9" s="7" t="s">
        <v>14</v>
      </c>
      <c r="C9" s="7" t="s">
        <v>43</v>
      </c>
    </row>
    <row r="10" spans="1:3" x14ac:dyDescent="0.25">
      <c r="A10" s="7" t="s">
        <v>30</v>
      </c>
      <c r="B10" s="7" t="s">
        <v>14</v>
      </c>
      <c r="C10" s="7" t="s">
        <v>43</v>
      </c>
    </row>
    <row r="11" spans="1:3" x14ac:dyDescent="0.25">
      <c r="A11" s="7" t="s">
        <v>32</v>
      </c>
      <c r="B11" s="7" t="s">
        <v>33</v>
      </c>
      <c r="C11" s="7" t="s">
        <v>45</v>
      </c>
    </row>
    <row r="12" spans="1:3" x14ac:dyDescent="0.25">
      <c r="A12" s="7" t="s">
        <v>37</v>
      </c>
      <c r="B12" s="7" t="s">
        <v>33</v>
      </c>
      <c r="C12" s="7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D151-F842-46E2-8DD5-430034DE45C7}">
  <dimension ref="A1:D12"/>
  <sheetViews>
    <sheetView workbookViewId="0"/>
  </sheetViews>
  <sheetFormatPr defaultRowHeight="15" x14ac:dyDescent="0.25"/>
  <cols>
    <col min="1" max="1" width="15.85546875" bestFit="1" customWidth="1"/>
    <col min="2" max="2" width="16.7109375" bestFit="1" customWidth="1"/>
    <col min="3" max="3" width="15.42578125" bestFit="1" customWidth="1"/>
    <col min="4" max="4" width="16.7109375" bestFit="1" customWidth="1"/>
  </cols>
  <sheetData>
    <row r="1" spans="1:4" x14ac:dyDescent="0.25">
      <c r="A1" t="s">
        <v>99</v>
      </c>
      <c r="B1" t="s">
        <v>46</v>
      </c>
      <c r="C1" s="1" t="s">
        <v>47</v>
      </c>
      <c r="D1" t="s">
        <v>48</v>
      </c>
    </row>
    <row r="2" spans="1:4" x14ac:dyDescent="0.25">
      <c r="A2" s="7" t="s">
        <v>4</v>
      </c>
      <c r="B2" s="7">
        <v>0</v>
      </c>
      <c r="C2" s="8">
        <v>0</v>
      </c>
      <c r="D2" s="7" t="s">
        <v>49</v>
      </c>
    </row>
    <row r="3" spans="1:4" x14ac:dyDescent="0.25">
      <c r="A3" s="7" t="s">
        <v>9</v>
      </c>
      <c r="B3" s="7">
        <v>0</v>
      </c>
      <c r="C3" s="8">
        <v>0</v>
      </c>
      <c r="D3" s="7" t="s">
        <v>49</v>
      </c>
    </row>
    <row r="4" spans="1:4" x14ac:dyDescent="0.25">
      <c r="A4" s="7" t="s">
        <v>13</v>
      </c>
      <c r="B4" s="7">
        <v>0</v>
      </c>
      <c r="C4" s="8">
        <v>0</v>
      </c>
      <c r="D4" s="7" t="s">
        <v>49</v>
      </c>
    </row>
    <row r="5" spans="1:4" x14ac:dyDescent="0.25">
      <c r="A5" s="7" t="s">
        <v>18</v>
      </c>
      <c r="B5" s="7">
        <v>0</v>
      </c>
      <c r="C5" s="8">
        <v>0</v>
      </c>
      <c r="D5" s="7" t="s">
        <v>49</v>
      </c>
    </row>
    <row r="6" spans="1:4" x14ac:dyDescent="0.25">
      <c r="A6" s="7" t="s">
        <v>23</v>
      </c>
      <c r="B6" s="7">
        <v>0</v>
      </c>
      <c r="C6" s="8">
        <v>0</v>
      </c>
      <c r="D6" s="7" t="s">
        <v>49</v>
      </c>
    </row>
    <row r="7" spans="1:4" x14ac:dyDescent="0.25">
      <c r="A7" s="7" t="s">
        <v>25</v>
      </c>
      <c r="B7" s="7">
        <v>0</v>
      </c>
      <c r="C7" s="8">
        <v>0</v>
      </c>
      <c r="D7" s="7" t="s">
        <v>49</v>
      </c>
    </row>
    <row r="8" spans="1:4" x14ac:dyDescent="0.25">
      <c r="A8" s="7" t="s">
        <v>27</v>
      </c>
      <c r="B8" s="7">
        <v>0</v>
      </c>
      <c r="C8" s="8">
        <v>0</v>
      </c>
      <c r="D8" s="7" t="s">
        <v>49</v>
      </c>
    </row>
    <row r="9" spans="1:4" x14ac:dyDescent="0.25">
      <c r="A9" s="7" t="s">
        <v>28</v>
      </c>
      <c r="B9" s="7">
        <v>0</v>
      </c>
      <c r="C9" s="8">
        <v>0</v>
      </c>
      <c r="D9" s="7" t="s">
        <v>49</v>
      </c>
    </row>
    <row r="10" spans="1:4" x14ac:dyDescent="0.25">
      <c r="A10" s="7" t="s">
        <v>30</v>
      </c>
      <c r="B10" s="7">
        <v>0</v>
      </c>
      <c r="C10" s="8">
        <v>0</v>
      </c>
      <c r="D10" s="7" t="s">
        <v>49</v>
      </c>
    </row>
    <row r="11" spans="1:4" x14ac:dyDescent="0.25">
      <c r="A11" s="7" t="s">
        <v>32</v>
      </c>
      <c r="B11" s="7">
        <v>0</v>
      </c>
      <c r="C11" s="8">
        <v>0</v>
      </c>
      <c r="D11" s="7" t="s">
        <v>49</v>
      </c>
    </row>
    <row r="12" spans="1:4" x14ac:dyDescent="0.25">
      <c r="A12" s="7" t="s">
        <v>37</v>
      </c>
      <c r="B12" s="7">
        <v>0</v>
      </c>
      <c r="C12" s="8">
        <v>0</v>
      </c>
      <c r="D12" s="7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8892-CEBE-4ECF-A15E-2F9268F13889}">
  <dimension ref="A1:D16"/>
  <sheetViews>
    <sheetView workbookViewId="0"/>
  </sheetViews>
  <sheetFormatPr defaultRowHeight="15" x14ac:dyDescent="0.25"/>
  <cols>
    <col min="1" max="1" width="15.85546875" bestFit="1" customWidth="1"/>
    <col min="2" max="2" width="15.7109375" bestFit="1" customWidth="1"/>
    <col min="3" max="3" width="21.140625" bestFit="1" customWidth="1"/>
    <col min="4" max="4" width="115.42578125" bestFit="1" customWidth="1"/>
  </cols>
  <sheetData>
    <row r="1" spans="1:4" x14ac:dyDescent="0.25">
      <c r="A1" t="s">
        <v>0</v>
      </c>
      <c r="B1" t="s">
        <v>50</v>
      </c>
      <c r="C1" s="1" t="s">
        <v>51</v>
      </c>
      <c r="D1" t="s">
        <v>66</v>
      </c>
    </row>
    <row r="2" spans="1:4" x14ac:dyDescent="0.25">
      <c r="A2" s="7" t="s">
        <v>4</v>
      </c>
      <c r="B2" s="9">
        <v>200000</v>
      </c>
      <c r="C2" s="10">
        <v>0.91500000000000004</v>
      </c>
      <c r="D2" s="7" t="s">
        <v>52</v>
      </c>
    </row>
    <row r="3" spans="1:4" x14ac:dyDescent="0.25">
      <c r="A3" s="7" t="s">
        <v>9</v>
      </c>
      <c r="B3" s="9">
        <v>200000</v>
      </c>
      <c r="C3" s="8">
        <v>1</v>
      </c>
      <c r="D3" s="7" t="s">
        <v>65</v>
      </c>
    </row>
    <row r="4" spans="1:4" x14ac:dyDescent="0.25">
      <c r="A4" s="7" t="s">
        <v>13</v>
      </c>
      <c r="B4" s="9">
        <v>200000</v>
      </c>
      <c r="C4" s="11">
        <v>7.3000000000000001E-3</v>
      </c>
      <c r="D4" s="7" t="s">
        <v>53</v>
      </c>
    </row>
    <row r="5" spans="1:4" x14ac:dyDescent="0.25">
      <c r="A5" s="7" t="s">
        <v>18</v>
      </c>
      <c r="B5" s="9">
        <v>200000</v>
      </c>
      <c r="C5" s="12">
        <v>4.5000000000000003E-5</v>
      </c>
      <c r="D5" s="7" t="s">
        <v>57</v>
      </c>
    </row>
    <row r="6" spans="1:4" x14ac:dyDescent="0.25">
      <c r="A6" s="7" t="s">
        <v>23</v>
      </c>
      <c r="B6" s="9">
        <v>200000</v>
      </c>
      <c r="C6" s="8">
        <v>0.41</v>
      </c>
      <c r="D6" s="7" t="s">
        <v>58</v>
      </c>
    </row>
    <row r="7" spans="1:4" x14ac:dyDescent="0.25">
      <c r="A7" s="7" t="s">
        <v>25</v>
      </c>
      <c r="B7" s="9">
        <v>200000</v>
      </c>
      <c r="C7" s="8">
        <v>0.56000000000000005</v>
      </c>
      <c r="D7" s="7" t="s">
        <v>59</v>
      </c>
    </row>
    <row r="8" spans="1:4" x14ac:dyDescent="0.25">
      <c r="A8" s="7" t="s">
        <v>27</v>
      </c>
      <c r="B8" s="9">
        <v>200000</v>
      </c>
      <c r="C8" s="8">
        <v>0.1</v>
      </c>
      <c r="D8" s="7" t="s">
        <v>60</v>
      </c>
    </row>
    <row r="9" spans="1:4" x14ac:dyDescent="0.25">
      <c r="A9" s="7" t="s">
        <v>28</v>
      </c>
      <c r="B9" s="9">
        <v>200000</v>
      </c>
      <c r="C9" s="8">
        <v>0.42</v>
      </c>
      <c r="D9" s="7" t="s">
        <v>61</v>
      </c>
    </row>
    <row r="10" spans="1:4" x14ac:dyDescent="0.25">
      <c r="A10" s="7" t="s">
        <v>30</v>
      </c>
      <c r="B10" s="9">
        <v>200000</v>
      </c>
      <c r="C10" s="8">
        <v>0.38790000000000002</v>
      </c>
      <c r="D10" s="7" t="s">
        <v>62</v>
      </c>
    </row>
    <row r="11" spans="1:4" x14ac:dyDescent="0.25">
      <c r="A11" s="7" t="s">
        <v>32</v>
      </c>
      <c r="B11" s="9">
        <v>200000</v>
      </c>
      <c r="C11" s="10">
        <v>0.998</v>
      </c>
      <c r="D11" s="7" t="s">
        <v>63</v>
      </c>
    </row>
    <row r="12" spans="1:4" x14ac:dyDescent="0.25">
      <c r="A12" s="7" t="s">
        <v>37</v>
      </c>
      <c r="B12" s="9">
        <v>200000</v>
      </c>
      <c r="C12" s="11">
        <v>0.99990000000000001</v>
      </c>
      <c r="D12" s="7" t="s">
        <v>64</v>
      </c>
    </row>
    <row r="13" spans="1:4" x14ac:dyDescent="0.25">
      <c r="A13" s="7"/>
      <c r="B13" s="7"/>
      <c r="C13" s="8"/>
      <c r="D13" s="7"/>
    </row>
    <row r="15" spans="1:4" x14ac:dyDescent="0.25">
      <c r="A15" t="s">
        <v>54</v>
      </c>
      <c r="B15" t="s">
        <v>55</v>
      </c>
    </row>
    <row r="16" spans="1:4" x14ac:dyDescent="0.25">
      <c r="B16" t="s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E788-6538-4287-8FA6-D3CA684D596C}">
  <dimension ref="A1:F16"/>
  <sheetViews>
    <sheetView workbookViewId="0"/>
  </sheetViews>
  <sheetFormatPr defaultRowHeight="15" customHeight="1" x14ac:dyDescent="0.25"/>
  <cols>
    <col min="1" max="1" width="16.85546875" customWidth="1"/>
    <col min="2" max="2" width="15" customWidth="1"/>
    <col min="3" max="3" width="8.42578125" customWidth="1"/>
    <col min="4" max="4" width="13.140625" customWidth="1"/>
    <col min="5" max="5" width="52.28515625" customWidth="1"/>
  </cols>
  <sheetData>
    <row r="1" spans="1:6" ht="15" customHeight="1" x14ac:dyDescent="0.25">
      <c r="A1" s="2" t="s">
        <v>0</v>
      </c>
      <c r="B1" s="2" t="s">
        <v>2</v>
      </c>
      <c r="C1" s="4" t="s">
        <v>68</v>
      </c>
      <c r="D1" s="4" t="s">
        <v>84</v>
      </c>
      <c r="E1" s="2" t="s">
        <v>66</v>
      </c>
    </row>
    <row r="2" spans="1:6" ht="15" customHeight="1" x14ac:dyDescent="0.25">
      <c r="A2" s="5" t="s">
        <v>9</v>
      </c>
      <c r="B2" s="5" t="s">
        <v>85</v>
      </c>
      <c r="C2" s="3">
        <v>44206</v>
      </c>
      <c r="D2" s="15">
        <v>0.22103</v>
      </c>
      <c r="E2" s="14" t="s">
        <v>90</v>
      </c>
    </row>
    <row r="3" spans="1:6" ht="15" customHeight="1" x14ac:dyDescent="0.25">
      <c r="A3" s="5" t="s">
        <v>9</v>
      </c>
      <c r="B3" s="5" t="s">
        <v>86</v>
      </c>
      <c r="C3" s="3">
        <v>70379</v>
      </c>
      <c r="D3" s="15">
        <v>0.35189500000000001</v>
      </c>
      <c r="E3" s="14" t="s">
        <v>91</v>
      </c>
    </row>
    <row r="4" spans="1:6" ht="15" customHeight="1" x14ac:dyDescent="0.25">
      <c r="A4" s="5" t="s">
        <v>9</v>
      </c>
      <c r="B4" s="5" t="s">
        <v>87</v>
      </c>
      <c r="C4" s="3" t="s">
        <v>99</v>
      </c>
      <c r="D4" s="15">
        <v>6.3699999999999998E-3</v>
      </c>
      <c r="E4" s="14" t="s">
        <v>92</v>
      </c>
    </row>
    <row r="5" spans="1:6" ht="15" customHeight="1" x14ac:dyDescent="0.25">
      <c r="A5" s="5" t="s">
        <v>9</v>
      </c>
      <c r="B5" s="5" t="s">
        <v>88</v>
      </c>
      <c r="C5" s="3">
        <v>67419</v>
      </c>
      <c r="D5" s="15">
        <v>0.33709499999999998</v>
      </c>
      <c r="E5" s="14" t="s">
        <v>93</v>
      </c>
    </row>
    <row r="6" spans="1:6" ht="15" customHeight="1" x14ac:dyDescent="0.25">
      <c r="A6" s="5" t="s">
        <v>9</v>
      </c>
      <c r="B6" s="5" t="s">
        <v>89</v>
      </c>
      <c r="C6" s="3">
        <v>16722</v>
      </c>
      <c r="D6" s="15">
        <v>8.3610000000000004E-2</v>
      </c>
      <c r="E6" s="14" t="s">
        <v>94</v>
      </c>
    </row>
    <row r="7" spans="1:6" ht="15" customHeight="1" x14ac:dyDescent="0.25">
      <c r="E7" s="14"/>
    </row>
    <row r="8" spans="1:6" ht="15" customHeight="1" x14ac:dyDescent="0.25">
      <c r="E8" s="14"/>
    </row>
    <row r="9" spans="1:6" ht="15" customHeight="1" x14ac:dyDescent="0.25">
      <c r="A9" s="2" t="s">
        <v>0</v>
      </c>
      <c r="B9" s="2" t="s">
        <v>2</v>
      </c>
      <c r="C9" s="4" t="s">
        <v>68</v>
      </c>
      <c r="D9" s="4" t="s">
        <v>84</v>
      </c>
      <c r="E9" s="2" t="s">
        <v>66</v>
      </c>
    </row>
    <row r="10" spans="1:6" ht="15" customHeight="1" x14ac:dyDescent="0.25">
      <c r="A10" s="5" t="s">
        <v>32</v>
      </c>
      <c r="B10" s="5">
        <v>0</v>
      </c>
      <c r="C10" s="3">
        <v>199732</v>
      </c>
      <c r="D10" s="16">
        <v>0.99865999999999999</v>
      </c>
      <c r="E10" s="14" t="s">
        <v>95</v>
      </c>
    </row>
    <row r="11" spans="1:6" ht="15" customHeight="1" x14ac:dyDescent="0.25">
      <c r="A11" s="5" t="s">
        <v>32</v>
      </c>
      <c r="B11" s="5">
        <v>1</v>
      </c>
      <c r="C11" s="3">
        <v>268</v>
      </c>
      <c r="D11" s="16">
        <v>1.34E-3</v>
      </c>
      <c r="E11" s="14" t="s">
        <v>96</v>
      </c>
      <c r="F11">
        <v>4</v>
      </c>
    </row>
    <row r="12" spans="1:6" ht="15" customHeight="1" x14ac:dyDescent="0.25">
      <c r="E12" s="14"/>
    </row>
    <row r="13" spans="1:6" ht="15" customHeight="1" x14ac:dyDescent="0.25">
      <c r="E13" s="14"/>
    </row>
    <row r="14" spans="1:6" ht="15" customHeight="1" x14ac:dyDescent="0.25">
      <c r="A14" s="2" t="s">
        <v>0</v>
      </c>
      <c r="B14" s="2" t="s">
        <v>2</v>
      </c>
      <c r="C14" s="4" t="s">
        <v>68</v>
      </c>
      <c r="D14" s="4" t="s">
        <v>84</v>
      </c>
      <c r="E14" s="2" t="s">
        <v>66</v>
      </c>
    </row>
    <row r="15" spans="1:6" ht="15" customHeight="1" x14ac:dyDescent="0.25">
      <c r="A15" s="5" t="s">
        <v>37</v>
      </c>
      <c r="B15" s="5">
        <v>0</v>
      </c>
      <c r="C15" s="3">
        <v>199999</v>
      </c>
      <c r="D15" s="17">
        <v>0.99999499999999997</v>
      </c>
      <c r="E15" s="14" t="s">
        <v>97</v>
      </c>
    </row>
    <row r="16" spans="1:6" ht="15" customHeight="1" x14ac:dyDescent="0.25">
      <c r="A16" s="5" t="s">
        <v>37</v>
      </c>
      <c r="B16" s="5">
        <v>1</v>
      </c>
      <c r="C16" s="3">
        <v>1</v>
      </c>
      <c r="D16" s="17">
        <v>5.0000000000000004E-6</v>
      </c>
      <c r="E16" s="14" t="s">
        <v>98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2261-EE66-498F-AB35-41FF1D179BEE}">
  <dimension ref="A1:H18"/>
  <sheetViews>
    <sheetView workbookViewId="0">
      <selection activeCell="B15" sqref="B15"/>
    </sheetView>
  </sheetViews>
  <sheetFormatPr defaultRowHeight="15" customHeight="1" x14ac:dyDescent="0.25"/>
  <cols>
    <col min="1" max="1" width="15.85546875" bestFit="1" customWidth="1"/>
    <col min="2" max="3" width="10.140625" bestFit="1" customWidth="1"/>
    <col min="4" max="4" width="22.140625" bestFit="1" customWidth="1"/>
    <col min="5" max="5" width="25.85546875" bestFit="1" customWidth="1"/>
    <col min="6" max="6" width="10" customWidth="1"/>
    <col min="7" max="7" width="9.85546875" customWidth="1"/>
    <col min="8" max="8" width="49.5703125" customWidth="1"/>
  </cols>
  <sheetData>
    <row r="1" spans="1:8" ht="15" customHeight="1" x14ac:dyDescent="0.25">
      <c r="A1" s="6" t="s">
        <v>67</v>
      </c>
      <c r="B1" s="6" t="s">
        <v>68</v>
      </c>
      <c r="C1" s="6" t="s">
        <v>69</v>
      </c>
      <c r="D1" s="6" t="s">
        <v>70</v>
      </c>
      <c r="E1" s="6" t="s">
        <v>73</v>
      </c>
      <c r="F1" s="6" t="s">
        <v>71</v>
      </c>
      <c r="G1" s="6" t="s">
        <v>72</v>
      </c>
      <c r="H1" s="6" t="s">
        <v>66</v>
      </c>
    </row>
    <row r="2" spans="1:8" ht="15" customHeight="1" x14ac:dyDescent="0.25">
      <c r="A2" s="7" t="s">
        <v>4</v>
      </c>
      <c r="B2" s="13">
        <v>200000</v>
      </c>
      <c r="C2" s="13">
        <v>1</v>
      </c>
      <c r="D2" s="13">
        <v>736</v>
      </c>
      <c r="E2" s="13">
        <v>293</v>
      </c>
      <c r="F2" s="13">
        <v>239</v>
      </c>
      <c r="G2" s="13">
        <v>142.62361909437547</v>
      </c>
      <c r="H2" s="14" t="s">
        <v>75</v>
      </c>
    </row>
    <row r="3" spans="1:8" ht="15" customHeight="1" x14ac:dyDescent="0.25">
      <c r="A3" s="7" t="s">
        <v>9</v>
      </c>
      <c r="B3" s="13">
        <v>200000</v>
      </c>
      <c r="C3" s="13" t="s">
        <v>74</v>
      </c>
      <c r="D3" s="13" t="s">
        <v>74</v>
      </c>
      <c r="E3" s="13" t="s">
        <v>74</v>
      </c>
      <c r="F3" s="13" t="s">
        <v>74</v>
      </c>
      <c r="G3" s="13" t="s">
        <v>74</v>
      </c>
      <c r="H3" s="13" t="s">
        <v>81</v>
      </c>
    </row>
    <row r="4" spans="1:8" ht="15" customHeight="1" x14ac:dyDescent="0.25">
      <c r="A4" s="7" t="s">
        <v>13</v>
      </c>
      <c r="B4" s="13">
        <v>200000</v>
      </c>
      <c r="C4" s="13">
        <v>0</v>
      </c>
      <c r="D4" s="13">
        <v>36973901.850000001</v>
      </c>
      <c r="E4" s="13">
        <v>341865.5</v>
      </c>
      <c r="F4" s="13">
        <v>75577.505000000005</v>
      </c>
      <c r="G4" s="13">
        <v>564226.31210601097</v>
      </c>
      <c r="H4" s="14" t="s">
        <v>76</v>
      </c>
    </row>
    <row r="5" spans="1:8" ht="15" customHeight="1" x14ac:dyDescent="0.25">
      <c r="A5" s="7" t="s">
        <v>18</v>
      </c>
      <c r="B5" s="13">
        <v>200000</v>
      </c>
      <c r="C5" s="13" t="s">
        <v>74</v>
      </c>
      <c r="D5" s="13" t="s">
        <v>74</v>
      </c>
      <c r="E5" s="13" t="s">
        <v>74</v>
      </c>
      <c r="F5" s="13" t="s">
        <v>74</v>
      </c>
      <c r="G5" s="13" t="s">
        <v>74</v>
      </c>
      <c r="H5" s="14" t="s">
        <v>82</v>
      </c>
    </row>
    <row r="6" spans="1:8" ht="15" customHeight="1" x14ac:dyDescent="0.25">
      <c r="A6" s="7" t="s">
        <v>23</v>
      </c>
      <c r="B6" s="13">
        <v>200000</v>
      </c>
      <c r="C6" s="13">
        <v>0</v>
      </c>
      <c r="D6" s="13">
        <v>34657149.759999998</v>
      </c>
      <c r="E6" s="13">
        <v>51236</v>
      </c>
      <c r="F6" s="13">
        <v>13899.21</v>
      </c>
      <c r="G6" s="13">
        <v>2874795.5867467797</v>
      </c>
      <c r="H6" s="14" t="s">
        <v>77</v>
      </c>
    </row>
    <row r="7" spans="1:8" ht="15" customHeight="1" x14ac:dyDescent="0.25">
      <c r="A7" s="7" t="s">
        <v>25</v>
      </c>
      <c r="B7" s="13">
        <v>200000</v>
      </c>
      <c r="C7" s="13">
        <v>0</v>
      </c>
      <c r="D7" s="13">
        <v>34616322.780000001</v>
      </c>
      <c r="E7" s="13">
        <v>369807.33999999997</v>
      </c>
      <c r="F7" s="13">
        <v>0</v>
      </c>
      <c r="G7" s="13">
        <v>2910883.3650654717</v>
      </c>
      <c r="H7" s="14" t="s">
        <v>78</v>
      </c>
    </row>
    <row r="8" spans="1:8" ht="15" customHeight="1" x14ac:dyDescent="0.25">
      <c r="A8" s="7" t="s">
        <v>27</v>
      </c>
      <c r="B8" s="13">
        <v>200000</v>
      </c>
      <c r="C8" s="13" t="s">
        <v>74</v>
      </c>
      <c r="D8" s="13" t="s">
        <v>74</v>
      </c>
      <c r="E8" s="13" t="s">
        <v>74</v>
      </c>
      <c r="F8" s="13" t="s">
        <v>74</v>
      </c>
      <c r="G8" s="13" t="s">
        <v>74</v>
      </c>
      <c r="H8" s="14" t="s">
        <v>83</v>
      </c>
    </row>
    <row r="9" spans="1:8" ht="15" customHeight="1" x14ac:dyDescent="0.25">
      <c r="A9" s="7" t="s">
        <v>28</v>
      </c>
      <c r="B9" s="13">
        <v>200000</v>
      </c>
      <c r="C9" s="13">
        <v>0</v>
      </c>
      <c r="D9" s="13">
        <v>236289550.30000001</v>
      </c>
      <c r="E9" s="13">
        <v>452419.57</v>
      </c>
      <c r="F9" s="13">
        <v>135860.76</v>
      </c>
      <c r="G9" s="13">
        <v>3350747.3181083053</v>
      </c>
      <c r="H9" s="14" t="s">
        <v>79</v>
      </c>
    </row>
    <row r="10" spans="1:8" ht="15" customHeight="1" x14ac:dyDescent="0.25">
      <c r="A10" s="7" t="s">
        <v>30</v>
      </c>
      <c r="B10" s="13">
        <v>200000</v>
      </c>
      <c r="C10" s="13">
        <v>0</v>
      </c>
      <c r="D10" s="13">
        <v>272404657.10000002</v>
      </c>
      <c r="E10" s="13">
        <v>122201.15</v>
      </c>
      <c r="F10" s="13">
        <v>216166.08499999999</v>
      </c>
      <c r="G10" s="13">
        <v>3596939.3017030894</v>
      </c>
      <c r="H10" s="14" t="s">
        <v>80</v>
      </c>
    </row>
    <row r="13" spans="1:8" ht="15" customHeight="1" x14ac:dyDescent="0.25">
      <c r="A13" s="2" t="s">
        <v>0</v>
      </c>
      <c r="B13" s="4" t="s">
        <v>126</v>
      </c>
      <c r="C13" s="4" t="s">
        <v>71</v>
      </c>
      <c r="D13" s="2" t="s">
        <v>127</v>
      </c>
      <c r="E13" s="2" t="s">
        <v>128</v>
      </c>
    </row>
    <row r="14" spans="1:8" ht="15" customHeight="1" x14ac:dyDescent="0.25">
      <c r="A14" s="5" t="s">
        <v>13</v>
      </c>
      <c r="B14" s="21">
        <v>341865.5</v>
      </c>
      <c r="C14" s="21">
        <v>75577.509999999995</v>
      </c>
      <c r="D14" s="5" t="s">
        <v>129</v>
      </c>
      <c r="E14" s="5" t="s">
        <v>130</v>
      </c>
    </row>
    <row r="15" spans="1:8" ht="15" customHeight="1" x14ac:dyDescent="0.25">
      <c r="A15" s="5" t="s">
        <v>23</v>
      </c>
      <c r="B15" s="22">
        <v>51236</v>
      </c>
      <c r="C15" s="21">
        <v>13899.21</v>
      </c>
      <c r="D15" s="5" t="s">
        <v>131</v>
      </c>
      <c r="E15" s="5" t="s">
        <v>132</v>
      </c>
    </row>
    <row r="16" spans="1:8" ht="15" customHeight="1" x14ac:dyDescent="0.25">
      <c r="A16" s="5" t="s">
        <v>25</v>
      </c>
      <c r="B16" s="21">
        <v>369807.34</v>
      </c>
      <c r="C16" s="3">
        <v>0</v>
      </c>
      <c r="D16" s="5" t="s">
        <v>129</v>
      </c>
      <c r="E16" s="5" t="s">
        <v>133</v>
      </c>
    </row>
    <row r="17" spans="1:5" ht="15" customHeight="1" x14ac:dyDescent="0.25">
      <c r="A17" s="5" t="s">
        <v>28</v>
      </c>
      <c r="B17" s="21">
        <v>452419.57</v>
      </c>
      <c r="C17" s="21">
        <v>135860.76</v>
      </c>
      <c r="D17" s="5" t="s">
        <v>131</v>
      </c>
      <c r="E17" s="5" t="s">
        <v>130</v>
      </c>
    </row>
    <row r="18" spans="1:5" ht="15" customHeight="1" x14ac:dyDescent="0.25">
      <c r="A18" s="5" t="s">
        <v>30</v>
      </c>
      <c r="B18" s="21">
        <v>122201.15</v>
      </c>
      <c r="C18" s="21">
        <v>216166.09</v>
      </c>
      <c r="D18" s="5" t="s">
        <v>134</v>
      </c>
      <c r="E18" s="5" t="s">
        <v>135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F304-8607-4133-A97A-57BCBA171B9B}">
  <dimension ref="A1:AB516"/>
  <sheetViews>
    <sheetView topLeftCell="K1" workbookViewId="0">
      <selection activeCell="R1" sqref="R1:T8"/>
    </sheetView>
  </sheetViews>
  <sheetFormatPr defaultRowHeight="15" customHeight="1" x14ac:dyDescent="0.25"/>
  <cols>
    <col min="1" max="1" width="15.140625" customWidth="1"/>
    <col min="2" max="2" width="16" customWidth="1"/>
    <col min="3" max="4" width="11" customWidth="1"/>
    <col min="5" max="5" width="14" customWidth="1"/>
    <col min="7" max="7" width="5.85546875" bestFit="1" customWidth="1"/>
    <col min="8" max="8" width="10.42578125" bestFit="1" customWidth="1"/>
    <col min="9" max="9" width="6" bestFit="1" customWidth="1"/>
    <col min="10" max="10" width="11.28515625" bestFit="1" customWidth="1"/>
    <col min="11" max="11" width="12.28515625" style="20" customWidth="1"/>
    <col min="18" max="18" width="18.140625" bestFit="1" customWidth="1"/>
    <col min="19" max="19" width="12.5703125" customWidth="1"/>
    <col min="24" max="24" width="11.140625" bestFit="1" customWidth="1"/>
    <col min="25" max="25" width="10.42578125" bestFit="1" customWidth="1"/>
    <col min="26" max="26" width="6" bestFit="1" customWidth="1"/>
    <col min="27" max="27" width="11.28515625" bestFit="1" customWidth="1"/>
    <col min="28" max="28" width="11.7109375" customWidth="1"/>
  </cols>
  <sheetData>
    <row r="1" spans="1:28" ht="15" customHeight="1" x14ac:dyDescent="0.25">
      <c r="A1" s="27" t="s">
        <v>114</v>
      </c>
      <c r="B1" s="27"/>
      <c r="C1" s="27"/>
      <c r="D1" s="27"/>
      <c r="E1" s="27"/>
      <c r="G1" s="27" t="s">
        <v>117</v>
      </c>
      <c r="H1" s="27"/>
      <c r="I1" s="27"/>
      <c r="J1" s="27"/>
      <c r="K1" s="27"/>
      <c r="R1" s="27" t="s">
        <v>136</v>
      </c>
      <c r="S1" s="27"/>
      <c r="T1" s="27"/>
      <c r="X1" s="27" t="s">
        <v>139</v>
      </c>
      <c r="Y1" s="27"/>
      <c r="Z1" s="27"/>
      <c r="AA1" s="27"/>
      <c r="AB1" s="27"/>
    </row>
    <row r="2" spans="1:28" ht="15" customHeight="1" x14ac:dyDescent="0.25">
      <c r="A2" t="s">
        <v>102</v>
      </c>
      <c r="B2" t="s">
        <v>103</v>
      </c>
      <c r="C2" t="s">
        <v>104</v>
      </c>
      <c r="D2" t="s">
        <v>105</v>
      </c>
      <c r="E2" t="s">
        <v>66</v>
      </c>
      <c r="G2" t="s">
        <v>113</v>
      </c>
      <c r="H2" t="s">
        <v>103</v>
      </c>
      <c r="I2" t="s">
        <v>104</v>
      </c>
      <c r="J2" t="s">
        <v>101</v>
      </c>
      <c r="K2" s="20" t="s">
        <v>118</v>
      </c>
      <c r="R2" s="2" t="s">
        <v>120</v>
      </c>
      <c r="S2" s="4" t="s">
        <v>137</v>
      </c>
      <c r="T2" s="4" t="s">
        <v>138</v>
      </c>
      <c r="X2" t="s">
        <v>100</v>
      </c>
      <c r="Y2" t="s">
        <v>103</v>
      </c>
      <c r="Z2" t="s">
        <v>104</v>
      </c>
      <c r="AA2" t="s">
        <v>101</v>
      </c>
      <c r="AB2" t="s">
        <v>118</v>
      </c>
    </row>
    <row r="3" spans="1:28" ht="15" customHeight="1" x14ac:dyDescent="0.25">
      <c r="A3" s="7" t="s">
        <v>85</v>
      </c>
      <c r="B3" s="7">
        <v>44206</v>
      </c>
      <c r="C3" s="7"/>
      <c r="D3" s="7">
        <v>44206</v>
      </c>
      <c r="E3" s="13" t="s">
        <v>107</v>
      </c>
      <c r="G3" s="7">
        <v>15</v>
      </c>
      <c r="H3" s="7">
        <v>1352</v>
      </c>
      <c r="I3" s="7">
        <v>4</v>
      </c>
      <c r="J3" s="7">
        <v>1356</v>
      </c>
      <c r="K3" s="11">
        <f>Table213[[#This Row],[Fraud]]/Table213[[#This Row],[Grand Total]]</f>
        <v>2.9498525073746312E-3</v>
      </c>
      <c r="R3" s="5" t="s">
        <v>68</v>
      </c>
      <c r="S3" s="3">
        <v>199732</v>
      </c>
      <c r="T3" s="3">
        <v>268</v>
      </c>
      <c r="X3" s="23">
        <v>0</v>
      </c>
      <c r="Y3" s="7"/>
      <c r="Z3" s="7">
        <v>1</v>
      </c>
      <c r="AA3" s="7">
        <v>1</v>
      </c>
      <c r="AB3" s="11">
        <f>Table15[[#This Row],[Fraud]]/Table15[[#This Row],[Grand Total]]</f>
        <v>1</v>
      </c>
    </row>
    <row r="4" spans="1:28" ht="15" customHeight="1" x14ac:dyDescent="0.25">
      <c r="A4" s="7" t="s">
        <v>86</v>
      </c>
      <c r="B4" s="7">
        <v>70255</v>
      </c>
      <c r="C4" s="7">
        <v>124</v>
      </c>
      <c r="D4" s="7">
        <v>70379</v>
      </c>
      <c r="E4" s="19" t="s">
        <v>110</v>
      </c>
      <c r="G4" s="7">
        <v>212</v>
      </c>
      <c r="H4" s="7">
        <v>1004</v>
      </c>
      <c r="I4" s="7">
        <v>3</v>
      </c>
      <c r="J4" s="7">
        <v>1007</v>
      </c>
      <c r="K4" s="11">
        <f>Table213[[#This Row],[Fraud]]/Table213[[#This Row],[Grand Total]]</f>
        <v>2.9791459781529296E-3</v>
      </c>
      <c r="R4" s="5" t="s">
        <v>121</v>
      </c>
      <c r="S4" s="3">
        <v>0.33</v>
      </c>
      <c r="T4" s="3">
        <v>0</v>
      </c>
      <c r="X4" s="23" t="s">
        <v>140</v>
      </c>
      <c r="Y4" s="7">
        <v>40334</v>
      </c>
      <c r="Z4" s="7">
        <v>11</v>
      </c>
      <c r="AA4" s="7">
        <v>40345</v>
      </c>
      <c r="AB4" s="11">
        <f>Table15[[#This Row],[Fraud]]/Table15[[#This Row],[Grand Total]]</f>
        <v>2.7264840748543809E-4</v>
      </c>
    </row>
    <row r="5" spans="1:28" ht="15" customHeight="1" x14ac:dyDescent="0.25">
      <c r="A5" s="7" t="s">
        <v>87</v>
      </c>
      <c r="B5" s="7">
        <v>1274</v>
      </c>
      <c r="C5" s="7"/>
      <c r="D5" s="7">
        <v>1274</v>
      </c>
      <c r="E5" s="13" t="s">
        <v>108</v>
      </c>
      <c r="G5" s="7">
        <v>236</v>
      </c>
      <c r="H5" s="7">
        <v>1194</v>
      </c>
      <c r="I5" s="7">
        <v>3</v>
      </c>
      <c r="J5" s="7">
        <v>1197</v>
      </c>
      <c r="K5" s="11">
        <f>Table213[[#This Row],[Fraud]]/Table213[[#This Row],[Grand Total]]</f>
        <v>2.5062656641604009E-3</v>
      </c>
      <c r="R5" s="5" t="s">
        <v>122</v>
      </c>
      <c r="S5" s="3">
        <v>36973901.850000001</v>
      </c>
      <c r="T5" s="3">
        <v>10000000</v>
      </c>
      <c r="X5" s="24" t="s">
        <v>142</v>
      </c>
      <c r="Y5" s="25">
        <v>70265</v>
      </c>
      <c r="Z5" s="25">
        <v>51</v>
      </c>
      <c r="AA5" s="26">
        <v>70316</v>
      </c>
      <c r="AB5" s="11">
        <f>Table15[[#This Row],[Fraud]]/Table15[[#This Row],[Grand Total]]</f>
        <v>7.2529722964901299E-4</v>
      </c>
    </row>
    <row r="6" spans="1:28" ht="15" customHeight="1" x14ac:dyDescent="0.25">
      <c r="A6" s="7" t="s">
        <v>88</v>
      </c>
      <c r="B6" s="7">
        <v>67419</v>
      </c>
      <c r="C6" s="7"/>
      <c r="D6" s="7">
        <v>67419</v>
      </c>
      <c r="E6" s="13" t="s">
        <v>109</v>
      </c>
      <c r="G6" s="7">
        <v>281</v>
      </c>
      <c r="H6" s="7">
        <v>910</v>
      </c>
      <c r="I6" s="7">
        <v>3</v>
      </c>
      <c r="J6" s="7">
        <v>913</v>
      </c>
      <c r="K6" s="11">
        <f>Table213[[#This Row],[Fraud]]/Table213[[#This Row],[Grand Total]]</f>
        <v>3.2858707557502738E-3</v>
      </c>
      <c r="R6" s="5" t="s">
        <v>123</v>
      </c>
      <c r="S6" s="3">
        <v>177510.61744352416</v>
      </c>
      <c r="T6" s="3">
        <v>1295440.2746641808</v>
      </c>
      <c r="X6" s="23" t="s">
        <v>141</v>
      </c>
      <c r="Y6" s="7">
        <v>85093</v>
      </c>
      <c r="Z6" s="7">
        <v>119</v>
      </c>
      <c r="AA6" s="7">
        <v>85212</v>
      </c>
      <c r="AB6" s="11">
        <f>Table15[[#This Row],[Fraud]]/Table15[[#This Row],[Grand Total]]</f>
        <v>1.3965169224991786E-3</v>
      </c>
    </row>
    <row r="7" spans="1:28" ht="15" customHeight="1" x14ac:dyDescent="0.25">
      <c r="A7" s="7" t="s">
        <v>89</v>
      </c>
      <c r="B7" s="7">
        <v>16578</v>
      </c>
      <c r="C7" s="7">
        <v>144</v>
      </c>
      <c r="D7" s="7">
        <v>16722</v>
      </c>
      <c r="E7" s="19" t="s">
        <v>111</v>
      </c>
      <c r="G7" s="7">
        <v>310</v>
      </c>
      <c r="H7" s="7">
        <v>347</v>
      </c>
      <c r="I7" s="7">
        <v>3</v>
      </c>
      <c r="J7" s="7">
        <v>350</v>
      </c>
      <c r="K7" s="11">
        <f>Table213[[#This Row],[Fraud]]/Table213[[#This Row],[Grand Total]]</f>
        <v>8.5714285714285719E-3</v>
      </c>
      <c r="R7" s="5" t="s">
        <v>124</v>
      </c>
      <c r="S7" s="3">
        <v>75577.505000000005</v>
      </c>
      <c r="T7" s="3">
        <v>429350.67000000004</v>
      </c>
      <c r="X7" s="23" t="s">
        <v>143</v>
      </c>
      <c r="Y7" s="7">
        <v>3959</v>
      </c>
      <c r="Z7" s="7">
        <v>86</v>
      </c>
      <c r="AA7" s="7">
        <v>4045</v>
      </c>
      <c r="AB7" s="11">
        <f>Table15[[#This Row],[Fraud]]/Table15[[#This Row],[Grand Total]]</f>
        <v>2.1260815822002472E-2</v>
      </c>
    </row>
    <row r="8" spans="1:28" ht="15" customHeight="1" x14ac:dyDescent="0.25">
      <c r="A8" s="7" t="s">
        <v>101</v>
      </c>
      <c r="B8" s="7">
        <v>199732</v>
      </c>
      <c r="C8" s="7">
        <v>268</v>
      </c>
      <c r="D8" s="7">
        <v>200000</v>
      </c>
      <c r="E8" s="7" t="s">
        <v>106</v>
      </c>
      <c r="G8" s="7">
        <v>59</v>
      </c>
      <c r="H8" s="7"/>
      <c r="I8" s="7">
        <v>2</v>
      </c>
      <c r="J8" s="7">
        <v>2</v>
      </c>
      <c r="K8" s="11">
        <f>Table213[[#This Row],[Fraud]]/Table213[[#This Row],[Grand Total]]</f>
        <v>1</v>
      </c>
      <c r="R8" s="5" t="s">
        <v>125</v>
      </c>
      <c r="S8" s="3">
        <v>557672.30343944894</v>
      </c>
      <c r="T8" s="3">
        <v>2137376.103768894</v>
      </c>
      <c r="X8" s="23" t="s">
        <v>144</v>
      </c>
      <c r="Y8" s="7">
        <v>81</v>
      </c>
      <c r="Z8" s="7"/>
      <c r="AA8" s="7">
        <v>81</v>
      </c>
      <c r="AB8" s="11">
        <f>Table15[[#This Row],[Fraud]]/Table15[[#This Row],[Grand Total]]</f>
        <v>0</v>
      </c>
    </row>
    <row r="9" spans="1:28" ht="15" customHeight="1" x14ac:dyDescent="0.25">
      <c r="G9" s="7">
        <v>60</v>
      </c>
      <c r="H9" s="7"/>
      <c r="I9" s="7">
        <v>2</v>
      </c>
      <c r="J9" s="7">
        <v>2</v>
      </c>
      <c r="K9" s="11">
        <f>Table213[[#This Row],[Fraud]]/Table213[[#This Row],[Grand Total]]</f>
        <v>1</v>
      </c>
    </row>
    <row r="10" spans="1:28" ht="15" customHeight="1" x14ac:dyDescent="0.25">
      <c r="A10" s="18" t="s">
        <v>115</v>
      </c>
      <c r="B10" s="29" t="s">
        <v>112</v>
      </c>
      <c r="C10" s="29"/>
      <c r="D10" s="29"/>
      <c r="E10" s="29"/>
      <c r="G10" s="7">
        <v>66</v>
      </c>
      <c r="H10" s="7"/>
      <c r="I10" s="7">
        <v>2</v>
      </c>
      <c r="J10" s="7">
        <v>2</v>
      </c>
      <c r="K10" s="11">
        <f>Table213[[#This Row],[Fraud]]/Table213[[#This Row],[Grand Total]]</f>
        <v>1</v>
      </c>
      <c r="L10" s="18" t="s">
        <v>116</v>
      </c>
      <c r="M10" s="28" t="s">
        <v>119</v>
      </c>
      <c r="N10" s="28"/>
      <c r="O10" s="28"/>
      <c r="P10" s="28"/>
      <c r="R10" s="18" t="s">
        <v>116</v>
      </c>
      <c r="S10" s="28" t="s">
        <v>145</v>
      </c>
      <c r="T10" s="28"/>
      <c r="U10" s="28"/>
      <c r="V10" s="28"/>
      <c r="X10" s="18" t="s">
        <v>116</v>
      </c>
      <c r="Y10" s="28" t="s">
        <v>146</v>
      </c>
      <c r="Z10" s="28"/>
      <c r="AA10" s="28"/>
      <c r="AB10" s="28"/>
    </row>
    <row r="11" spans="1:28" ht="15" customHeight="1" x14ac:dyDescent="0.25">
      <c r="B11" s="29"/>
      <c r="C11" s="29"/>
      <c r="D11" s="29"/>
      <c r="E11" s="29"/>
      <c r="G11" s="7">
        <v>106</v>
      </c>
      <c r="H11" s="7"/>
      <c r="I11" s="7">
        <v>2</v>
      </c>
      <c r="J11" s="7">
        <v>2</v>
      </c>
      <c r="K11" s="11">
        <f>Table213[[#This Row],[Fraud]]/Table213[[#This Row],[Grand Total]]</f>
        <v>1</v>
      </c>
      <c r="M11" s="28"/>
      <c r="N11" s="28"/>
      <c r="O11" s="28"/>
      <c r="P11" s="28"/>
      <c r="S11" s="28"/>
      <c r="T11" s="28"/>
      <c r="U11" s="28"/>
      <c r="V11" s="28"/>
      <c r="Y11" s="28"/>
      <c r="Z11" s="28"/>
      <c r="AA11" s="28"/>
      <c r="AB11" s="28"/>
    </row>
    <row r="12" spans="1:28" ht="15" customHeight="1" x14ac:dyDescent="0.25">
      <c r="B12" s="29"/>
      <c r="C12" s="29"/>
      <c r="D12" s="29"/>
      <c r="E12" s="29"/>
      <c r="G12" s="7">
        <v>119</v>
      </c>
      <c r="H12" s="7">
        <v>179</v>
      </c>
      <c r="I12" s="7">
        <v>2</v>
      </c>
      <c r="J12" s="7">
        <v>181</v>
      </c>
      <c r="K12" s="11">
        <f>Table213[[#This Row],[Fraud]]/Table213[[#This Row],[Grand Total]]</f>
        <v>1.1049723756906077E-2</v>
      </c>
      <c r="M12" s="28"/>
      <c r="N12" s="28"/>
      <c r="O12" s="28"/>
      <c r="P12" s="28"/>
      <c r="S12" s="28"/>
      <c r="T12" s="28"/>
      <c r="U12" s="28"/>
      <c r="V12" s="28"/>
      <c r="Y12" s="28"/>
      <c r="Z12" s="28"/>
      <c r="AA12" s="28"/>
      <c r="AB12" s="28"/>
    </row>
    <row r="13" spans="1:28" ht="15" customHeight="1" x14ac:dyDescent="0.25">
      <c r="B13" s="29"/>
      <c r="C13" s="29"/>
      <c r="D13" s="29"/>
      <c r="E13" s="29"/>
      <c r="G13" s="7">
        <v>159</v>
      </c>
      <c r="H13" s="7">
        <v>884</v>
      </c>
      <c r="I13" s="7">
        <v>2</v>
      </c>
      <c r="J13" s="7">
        <v>886</v>
      </c>
      <c r="K13" s="11">
        <f>Table213[[#This Row],[Fraud]]/Table213[[#This Row],[Grand Total]]</f>
        <v>2.257336343115124E-3</v>
      </c>
      <c r="M13" s="28"/>
      <c r="N13" s="28"/>
      <c r="O13" s="28"/>
      <c r="P13" s="28"/>
      <c r="S13" s="28"/>
      <c r="T13" s="28"/>
      <c r="U13" s="28"/>
      <c r="V13" s="28"/>
      <c r="Y13" s="28"/>
      <c r="Z13" s="28"/>
      <c r="AA13" s="28"/>
      <c r="AB13" s="28"/>
    </row>
    <row r="14" spans="1:28" ht="15" customHeight="1" x14ac:dyDescent="0.25">
      <c r="B14" s="29"/>
      <c r="C14" s="29"/>
      <c r="D14" s="29"/>
      <c r="E14" s="29"/>
      <c r="G14" s="7">
        <v>162</v>
      </c>
      <c r="H14" s="7">
        <v>1321</v>
      </c>
      <c r="I14" s="7">
        <v>2</v>
      </c>
      <c r="J14" s="7">
        <v>1323</v>
      </c>
      <c r="K14" s="11">
        <f>Table213[[#This Row],[Fraud]]/Table213[[#This Row],[Grand Total]]</f>
        <v>1.5117157974300832E-3</v>
      </c>
      <c r="M14" s="28"/>
      <c r="N14" s="28"/>
      <c r="O14" s="28"/>
      <c r="P14" s="28"/>
      <c r="S14" s="28"/>
      <c r="T14" s="28"/>
      <c r="U14" s="28"/>
      <c r="V14" s="28"/>
      <c r="Y14" s="28"/>
      <c r="Z14" s="28"/>
      <c r="AA14" s="28"/>
      <c r="AB14" s="28"/>
    </row>
    <row r="15" spans="1:28" ht="15" customHeight="1" x14ac:dyDescent="0.25">
      <c r="B15" s="29"/>
      <c r="C15" s="29"/>
      <c r="D15" s="29"/>
      <c r="E15" s="29"/>
      <c r="G15" s="7">
        <v>178</v>
      </c>
      <c r="H15" s="7">
        <v>882</v>
      </c>
      <c r="I15" s="7">
        <v>2</v>
      </c>
      <c r="J15" s="7">
        <v>884</v>
      </c>
      <c r="K15" s="11">
        <f>Table213[[#This Row],[Fraud]]/Table213[[#This Row],[Grand Total]]</f>
        <v>2.2624434389140274E-3</v>
      </c>
      <c r="M15" s="28"/>
      <c r="N15" s="28"/>
      <c r="O15" s="28"/>
      <c r="P15" s="28"/>
      <c r="S15" s="28"/>
      <c r="T15" s="28"/>
      <c r="U15" s="28"/>
      <c r="V15" s="28"/>
      <c r="Y15" s="28"/>
      <c r="Z15" s="28"/>
      <c r="AA15" s="28"/>
      <c r="AB15" s="28"/>
    </row>
    <row r="16" spans="1:28" ht="15" customHeight="1" x14ac:dyDescent="0.25">
      <c r="B16" s="29"/>
      <c r="C16" s="29"/>
      <c r="D16" s="29"/>
      <c r="E16" s="29"/>
      <c r="G16" s="7">
        <v>181</v>
      </c>
      <c r="H16" s="7">
        <v>999</v>
      </c>
      <c r="I16" s="7">
        <v>2</v>
      </c>
      <c r="J16" s="7">
        <v>1001</v>
      </c>
      <c r="K16" s="11">
        <f>Table213[[#This Row],[Fraud]]/Table213[[#This Row],[Grand Total]]</f>
        <v>1.998001998001998E-3</v>
      </c>
      <c r="M16" s="28"/>
      <c r="N16" s="28"/>
      <c r="O16" s="28"/>
      <c r="P16" s="28"/>
      <c r="S16" s="28"/>
      <c r="T16" s="28"/>
      <c r="U16" s="28"/>
      <c r="V16" s="28"/>
      <c r="Y16" s="28"/>
      <c r="Z16" s="28"/>
      <c r="AA16" s="28"/>
      <c r="AB16" s="28"/>
    </row>
    <row r="17" spans="2:28" ht="15" customHeight="1" x14ac:dyDescent="0.25">
      <c r="B17" s="29"/>
      <c r="C17" s="29"/>
      <c r="D17" s="29"/>
      <c r="E17" s="29"/>
      <c r="G17" s="7">
        <v>241</v>
      </c>
      <c r="H17" s="7">
        <v>61</v>
      </c>
      <c r="I17" s="7">
        <v>2</v>
      </c>
      <c r="J17" s="7">
        <v>63</v>
      </c>
      <c r="K17" s="11">
        <f>Table213[[#This Row],[Fraud]]/Table213[[#This Row],[Grand Total]]</f>
        <v>3.1746031746031744E-2</v>
      </c>
      <c r="M17" s="28"/>
      <c r="N17" s="28"/>
      <c r="O17" s="28"/>
      <c r="P17" s="28"/>
      <c r="S17" s="28"/>
      <c r="T17" s="28"/>
      <c r="U17" s="28"/>
      <c r="V17" s="28"/>
      <c r="Y17" s="28"/>
      <c r="Z17" s="28"/>
      <c r="AA17" s="28"/>
      <c r="AB17" s="28"/>
    </row>
    <row r="18" spans="2:28" ht="15" customHeight="1" x14ac:dyDescent="0.25">
      <c r="G18" s="7">
        <v>261</v>
      </c>
      <c r="H18" s="7">
        <v>455</v>
      </c>
      <c r="I18" s="7">
        <v>2</v>
      </c>
      <c r="J18" s="7">
        <v>457</v>
      </c>
      <c r="K18" s="11">
        <f>Table213[[#This Row],[Fraud]]/Table213[[#This Row],[Grand Total]]</f>
        <v>4.3763676148796497E-3</v>
      </c>
      <c r="S18" s="28"/>
      <c r="T18" s="28"/>
      <c r="U18" s="28"/>
      <c r="V18" s="28"/>
      <c r="Y18" s="28"/>
      <c r="Z18" s="28"/>
      <c r="AA18" s="28"/>
      <c r="AB18" s="28"/>
    </row>
    <row r="19" spans="2:28" ht="15" customHeight="1" x14ac:dyDescent="0.25">
      <c r="G19" s="7">
        <v>273</v>
      </c>
      <c r="H19" s="7">
        <v>219</v>
      </c>
      <c r="I19" s="7">
        <v>2</v>
      </c>
      <c r="J19" s="7">
        <v>221</v>
      </c>
      <c r="K19" s="11">
        <f>Table213[[#This Row],[Fraud]]/Table213[[#This Row],[Grand Total]]</f>
        <v>9.0497737556561094E-3</v>
      </c>
      <c r="S19" s="28"/>
      <c r="T19" s="28"/>
      <c r="U19" s="28"/>
      <c r="V19" s="28"/>
      <c r="Y19" s="28"/>
      <c r="Z19" s="28"/>
      <c r="AA19" s="28"/>
      <c r="AB19" s="28"/>
    </row>
    <row r="20" spans="2:28" ht="15" customHeight="1" x14ac:dyDescent="0.25">
      <c r="G20" s="7">
        <v>327</v>
      </c>
      <c r="H20" s="7">
        <v>800</v>
      </c>
      <c r="I20" s="7">
        <v>2</v>
      </c>
      <c r="J20" s="7">
        <v>802</v>
      </c>
      <c r="K20" s="11">
        <f>Table213[[#This Row],[Fraud]]/Table213[[#This Row],[Grand Total]]</f>
        <v>2.4937655860349127E-3</v>
      </c>
      <c r="S20" s="28"/>
      <c r="T20" s="28"/>
      <c r="U20" s="28"/>
      <c r="V20" s="28"/>
    </row>
    <row r="21" spans="2:28" ht="15" customHeight="1" x14ac:dyDescent="0.25">
      <c r="G21" s="7">
        <v>362</v>
      </c>
      <c r="H21" s="7">
        <v>15</v>
      </c>
      <c r="I21" s="7">
        <v>2</v>
      </c>
      <c r="J21" s="7">
        <v>17</v>
      </c>
      <c r="K21" s="11">
        <f>Table213[[#This Row],[Fraud]]/Table213[[#This Row],[Grand Total]]</f>
        <v>0.11764705882352941</v>
      </c>
      <c r="S21" s="28"/>
      <c r="T21" s="28"/>
      <c r="U21" s="28"/>
      <c r="V21" s="28"/>
    </row>
    <row r="22" spans="2:28" ht="15" customHeight="1" x14ac:dyDescent="0.25">
      <c r="G22" s="7">
        <v>367</v>
      </c>
      <c r="H22" s="7"/>
      <c r="I22" s="7">
        <v>2</v>
      </c>
      <c r="J22" s="7">
        <v>2</v>
      </c>
      <c r="K22" s="11">
        <f>Table213[[#This Row],[Fraud]]/Table213[[#This Row],[Grand Total]]</f>
        <v>1</v>
      </c>
      <c r="S22" s="28"/>
      <c r="T22" s="28"/>
      <c r="U22" s="28"/>
      <c r="V22" s="28"/>
    </row>
    <row r="23" spans="2:28" ht="15" customHeight="1" x14ac:dyDescent="0.25">
      <c r="G23" s="7">
        <v>382</v>
      </c>
      <c r="H23" s="7">
        <v>335</v>
      </c>
      <c r="I23" s="7">
        <v>2</v>
      </c>
      <c r="J23" s="7">
        <v>337</v>
      </c>
      <c r="K23" s="11">
        <f>Table213[[#This Row],[Fraud]]/Table213[[#This Row],[Grand Total]]</f>
        <v>5.9347181008902079E-3</v>
      </c>
      <c r="S23" s="28"/>
      <c r="T23" s="28"/>
      <c r="U23" s="28"/>
      <c r="V23" s="28"/>
    </row>
    <row r="24" spans="2:28" ht="15" customHeight="1" x14ac:dyDescent="0.25">
      <c r="G24" s="7">
        <v>461</v>
      </c>
      <c r="H24" s="7">
        <v>4</v>
      </c>
      <c r="I24" s="7">
        <v>2</v>
      </c>
      <c r="J24" s="7">
        <v>6</v>
      </c>
      <c r="K24" s="11">
        <f>Table213[[#This Row],[Fraud]]/Table213[[#This Row],[Grand Total]]</f>
        <v>0.33333333333333331</v>
      </c>
      <c r="S24" s="28"/>
      <c r="T24" s="28"/>
      <c r="U24" s="28"/>
      <c r="V24" s="28"/>
    </row>
    <row r="25" spans="2:28" ht="15" customHeight="1" x14ac:dyDescent="0.25">
      <c r="G25" s="7">
        <v>485</v>
      </c>
      <c r="H25" s="7"/>
      <c r="I25" s="7">
        <v>2</v>
      </c>
      <c r="J25" s="7">
        <v>2</v>
      </c>
      <c r="K25" s="11">
        <f>Table213[[#This Row],[Fraud]]/Table213[[#This Row],[Grand Total]]</f>
        <v>1</v>
      </c>
    </row>
    <row r="26" spans="2:28" ht="15" customHeight="1" x14ac:dyDescent="0.25">
      <c r="G26" s="7">
        <v>486</v>
      </c>
      <c r="H26" s="7"/>
      <c r="I26" s="7">
        <v>2</v>
      </c>
      <c r="J26" s="7">
        <v>2</v>
      </c>
      <c r="K26" s="11">
        <f>Table213[[#This Row],[Fraud]]/Table213[[#This Row],[Grand Total]]</f>
        <v>1</v>
      </c>
    </row>
    <row r="27" spans="2:28" ht="15" customHeight="1" x14ac:dyDescent="0.25">
      <c r="G27" s="7">
        <v>540</v>
      </c>
      <c r="H27" s="7">
        <v>178</v>
      </c>
      <c r="I27" s="7">
        <v>2</v>
      </c>
      <c r="J27" s="7">
        <v>180</v>
      </c>
      <c r="K27" s="11">
        <f>Table213[[#This Row],[Fraud]]/Table213[[#This Row],[Grand Total]]</f>
        <v>1.1111111111111112E-2</v>
      </c>
    </row>
    <row r="28" spans="2:28" ht="15" customHeight="1" x14ac:dyDescent="0.25">
      <c r="G28" s="7">
        <v>557</v>
      </c>
      <c r="H28" s="7"/>
      <c r="I28" s="7">
        <v>2</v>
      </c>
      <c r="J28" s="7">
        <v>2</v>
      </c>
      <c r="K28" s="11">
        <f>Table213[[#This Row],[Fraud]]/Table213[[#This Row],[Grand Total]]</f>
        <v>1</v>
      </c>
    </row>
    <row r="29" spans="2:28" ht="15" customHeight="1" x14ac:dyDescent="0.25">
      <c r="G29" s="7">
        <v>562</v>
      </c>
      <c r="H29" s="7"/>
      <c r="I29" s="7">
        <v>2</v>
      </c>
      <c r="J29" s="7">
        <v>2</v>
      </c>
      <c r="K29" s="11">
        <f>Table213[[#This Row],[Fraud]]/Table213[[#This Row],[Grand Total]]</f>
        <v>1</v>
      </c>
    </row>
    <row r="30" spans="2:28" ht="15" customHeight="1" x14ac:dyDescent="0.25">
      <c r="G30" s="7">
        <v>629</v>
      </c>
      <c r="H30" s="7"/>
      <c r="I30" s="7">
        <v>2</v>
      </c>
      <c r="J30" s="7">
        <v>2</v>
      </c>
      <c r="K30" s="11">
        <f>Table213[[#This Row],[Fraud]]/Table213[[#This Row],[Grand Total]]</f>
        <v>1</v>
      </c>
    </row>
    <row r="31" spans="2:28" ht="15" customHeight="1" x14ac:dyDescent="0.25">
      <c r="G31" s="7">
        <v>701</v>
      </c>
      <c r="H31" s="7"/>
      <c r="I31" s="7">
        <v>2</v>
      </c>
      <c r="J31" s="7">
        <v>2</v>
      </c>
      <c r="K31" s="11">
        <f>Table213[[#This Row],[Fraud]]/Table213[[#This Row],[Grand Total]]</f>
        <v>1</v>
      </c>
    </row>
    <row r="32" spans="2:28" ht="15" customHeight="1" x14ac:dyDescent="0.25">
      <c r="G32" s="7">
        <v>731</v>
      </c>
      <c r="H32" s="7"/>
      <c r="I32" s="7">
        <v>2</v>
      </c>
      <c r="J32" s="7">
        <v>2</v>
      </c>
      <c r="K32" s="11">
        <f>Table213[[#This Row],[Fraud]]/Table213[[#This Row],[Grand Total]]</f>
        <v>1</v>
      </c>
    </row>
    <row r="33" spans="7:11" ht="15" customHeight="1" x14ac:dyDescent="0.25">
      <c r="G33" s="7">
        <v>1</v>
      </c>
      <c r="H33" s="7">
        <v>82</v>
      </c>
      <c r="I33" s="7">
        <v>1</v>
      </c>
      <c r="J33" s="7">
        <v>83</v>
      </c>
      <c r="K33" s="11">
        <f>Table213[[#This Row],[Fraud]]/Table213[[#This Row],[Grand Total]]</f>
        <v>1.2048192771084338E-2</v>
      </c>
    </row>
    <row r="34" spans="7:11" ht="15" customHeight="1" x14ac:dyDescent="0.25">
      <c r="G34" s="7">
        <v>3</v>
      </c>
      <c r="H34" s="7">
        <v>15</v>
      </c>
      <c r="I34" s="7">
        <v>1</v>
      </c>
      <c r="J34" s="7">
        <v>16</v>
      </c>
      <c r="K34" s="11">
        <f>Table213[[#This Row],[Fraud]]/Table213[[#This Row],[Grand Total]]</f>
        <v>6.25E-2</v>
      </c>
    </row>
    <row r="35" spans="7:11" ht="15" customHeight="1" x14ac:dyDescent="0.25">
      <c r="G35" s="7">
        <v>5</v>
      </c>
      <c r="H35" s="7">
        <v>19</v>
      </c>
      <c r="I35" s="7">
        <v>1</v>
      </c>
      <c r="J35" s="7">
        <v>20</v>
      </c>
      <c r="K35" s="11">
        <f>Table213[[#This Row],[Fraud]]/Table213[[#This Row],[Grand Total]]</f>
        <v>0.05</v>
      </c>
    </row>
    <row r="36" spans="7:11" ht="15" customHeight="1" x14ac:dyDescent="0.25">
      <c r="G36" s="7">
        <v>9</v>
      </c>
      <c r="H36" s="7">
        <v>1185</v>
      </c>
      <c r="I36" s="7">
        <v>1</v>
      </c>
      <c r="J36" s="7">
        <v>1186</v>
      </c>
      <c r="K36" s="11">
        <f>Table213[[#This Row],[Fraud]]/Table213[[#This Row],[Grand Total]]</f>
        <v>8.4317032040472171E-4</v>
      </c>
    </row>
    <row r="37" spans="7:11" ht="15" customHeight="1" x14ac:dyDescent="0.25">
      <c r="G37" s="7">
        <v>16</v>
      </c>
      <c r="H37" s="7">
        <v>1306</v>
      </c>
      <c r="I37" s="7">
        <v>1</v>
      </c>
      <c r="J37" s="7">
        <v>1307</v>
      </c>
      <c r="K37" s="11">
        <f>Table213[[#This Row],[Fraud]]/Table213[[#This Row],[Grand Total]]</f>
        <v>7.6511094108645751E-4</v>
      </c>
    </row>
    <row r="38" spans="7:11" ht="15" customHeight="1" x14ac:dyDescent="0.25">
      <c r="G38" s="7">
        <v>18</v>
      </c>
      <c r="H38" s="7">
        <v>1541</v>
      </c>
      <c r="I38" s="7">
        <v>1</v>
      </c>
      <c r="J38" s="7">
        <v>1542</v>
      </c>
      <c r="K38" s="11">
        <f>Table213[[#This Row],[Fraud]]/Table213[[#This Row],[Grand Total]]</f>
        <v>6.485084306095979E-4</v>
      </c>
    </row>
    <row r="39" spans="7:11" ht="15" customHeight="1" x14ac:dyDescent="0.25">
      <c r="G39" s="7">
        <v>20</v>
      </c>
      <c r="H39" s="7">
        <v>1270</v>
      </c>
      <c r="I39" s="7">
        <v>1</v>
      </c>
      <c r="J39" s="7">
        <v>1271</v>
      </c>
      <c r="K39" s="11">
        <f>Table213[[#This Row],[Fraud]]/Table213[[#This Row],[Grand Total]]</f>
        <v>7.8678206136900079E-4</v>
      </c>
    </row>
    <row r="40" spans="7:11" ht="15" customHeight="1" x14ac:dyDescent="0.25">
      <c r="G40" s="7">
        <v>21</v>
      </c>
      <c r="H40" s="7">
        <v>621</v>
      </c>
      <c r="I40" s="7">
        <v>1</v>
      </c>
      <c r="J40" s="7">
        <v>622</v>
      </c>
      <c r="K40" s="11">
        <f>Table213[[#This Row],[Fraud]]/Table213[[#This Row],[Grand Total]]</f>
        <v>1.6077170418006431E-3</v>
      </c>
    </row>
    <row r="41" spans="7:11" ht="15" customHeight="1" x14ac:dyDescent="0.25">
      <c r="G41" s="7">
        <v>22</v>
      </c>
      <c r="H41" s="7">
        <v>404</v>
      </c>
      <c r="I41" s="7">
        <v>1</v>
      </c>
      <c r="J41" s="7">
        <v>405</v>
      </c>
      <c r="K41" s="11">
        <f>Table213[[#This Row],[Fraud]]/Table213[[#This Row],[Grand Total]]</f>
        <v>2.4691358024691358E-3</v>
      </c>
    </row>
    <row r="42" spans="7:11" ht="15" customHeight="1" x14ac:dyDescent="0.25">
      <c r="G42" s="7">
        <v>25</v>
      </c>
      <c r="H42" s="7">
        <v>45</v>
      </c>
      <c r="I42" s="7">
        <v>1</v>
      </c>
      <c r="J42" s="7">
        <v>46</v>
      </c>
      <c r="K42" s="11">
        <f>Table213[[#This Row],[Fraud]]/Table213[[#This Row],[Grand Total]]</f>
        <v>2.1739130434782608E-2</v>
      </c>
    </row>
    <row r="43" spans="7:11" ht="15" customHeight="1" x14ac:dyDescent="0.25">
      <c r="G43" s="7">
        <v>29</v>
      </c>
      <c r="H43" s="7"/>
      <c r="I43" s="7">
        <v>1</v>
      </c>
      <c r="J43" s="7">
        <v>1</v>
      </c>
      <c r="K43" s="11">
        <f>Table213[[#This Row],[Fraud]]/Table213[[#This Row],[Grand Total]]</f>
        <v>1</v>
      </c>
    </row>
    <row r="44" spans="7:11" ht="15" customHeight="1" x14ac:dyDescent="0.25">
      <c r="G44" s="7">
        <v>31</v>
      </c>
      <c r="H44" s="7"/>
      <c r="I44" s="7">
        <v>1</v>
      </c>
      <c r="J44" s="7">
        <v>1</v>
      </c>
      <c r="K44" s="11">
        <f>Table213[[#This Row],[Fraud]]/Table213[[#This Row],[Grand Total]]</f>
        <v>1</v>
      </c>
    </row>
    <row r="45" spans="7:11" ht="15" customHeight="1" x14ac:dyDescent="0.25">
      <c r="G45" s="7">
        <v>32</v>
      </c>
      <c r="H45" s="7"/>
      <c r="I45" s="7">
        <v>1</v>
      </c>
      <c r="J45" s="7">
        <v>1</v>
      </c>
      <c r="K45" s="11">
        <f>Table213[[#This Row],[Fraud]]/Table213[[#This Row],[Grand Total]]</f>
        <v>1</v>
      </c>
    </row>
    <row r="46" spans="7:11" ht="15" customHeight="1" x14ac:dyDescent="0.25">
      <c r="G46" s="7">
        <v>35</v>
      </c>
      <c r="H46" s="7">
        <v>982</v>
      </c>
      <c r="I46" s="7">
        <v>1</v>
      </c>
      <c r="J46" s="7">
        <v>983</v>
      </c>
      <c r="K46" s="11">
        <f>Table213[[#This Row],[Fraud]]/Table213[[#This Row],[Grand Total]]</f>
        <v>1.017293997965412E-3</v>
      </c>
    </row>
    <row r="47" spans="7:11" ht="15" customHeight="1" x14ac:dyDescent="0.25">
      <c r="G47" s="7">
        <v>37</v>
      </c>
      <c r="H47" s="7">
        <v>1058</v>
      </c>
      <c r="I47" s="7">
        <v>1</v>
      </c>
      <c r="J47" s="7">
        <v>1059</v>
      </c>
      <c r="K47" s="11">
        <f>Table213[[#This Row],[Fraud]]/Table213[[#This Row],[Grand Total]]</f>
        <v>9.4428706326723328E-4</v>
      </c>
    </row>
    <row r="48" spans="7:11" ht="15" customHeight="1" x14ac:dyDescent="0.25">
      <c r="G48" s="7">
        <v>38</v>
      </c>
      <c r="H48" s="7">
        <v>997</v>
      </c>
      <c r="I48" s="7">
        <v>1</v>
      </c>
      <c r="J48" s="7">
        <v>998</v>
      </c>
      <c r="K48" s="11">
        <f>Table213[[#This Row],[Fraud]]/Table213[[#This Row],[Grand Total]]</f>
        <v>1.002004008016032E-3</v>
      </c>
    </row>
    <row r="49" spans="7:11" ht="15" customHeight="1" x14ac:dyDescent="0.25">
      <c r="G49" s="7">
        <v>42</v>
      </c>
      <c r="H49" s="7">
        <v>1292</v>
      </c>
      <c r="I49" s="7">
        <v>1</v>
      </c>
      <c r="J49" s="7">
        <v>1293</v>
      </c>
      <c r="K49" s="11">
        <f>Table213[[#This Row],[Fraud]]/Table213[[#This Row],[Grand Total]]</f>
        <v>7.7339520494972935E-4</v>
      </c>
    </row>
    <row r="50" spans="7:11" ht="15" customHeight="1" x14ac:dyDescent="0.25">
      <c r="G50" s="7">
        <v>43</v>
      </c>
      <c r="H50" s="7">
        <v>1375</v>
      </c>
      <c r="I50" s="7">
        <v>1</v>
      </c>
      <c r="J50" s="7">
        <v>1376</v>
      </c>
      <c r="K50" s="11">
        <f>Table213[[#This Row],[Fraud]]/Table213[[#This Row],[Grand Total]]</f>
        <v>7.2674418604651162E-4</v>
      </c>
    </row>
    <row r="51" spans="7:11" ht="15" customHeight="1" x14ac:dyDescent="0.25">
      <c r="G51" s="7">
        <v>45</v>
      </c>
      <c r="H51" s="7">
        <v>581</v>
      </c>
      <c r="I51" s="7">
        <v>1</v>
      </c>
      <c r="J51" s="7">
        <v>582</v>
      </c>
      <c r="K51" s="11">
        <f>Table213[[#This Row],[Fraud]]/Table213[[#This Row],[Grand Total]]</f>
        <v>1.718213058419244E-3</v>
      </c>
    </row>
    <row r="52" spans="7:11" ht="15" customHeight="1" x14ac:dyDescent="0.25">
      <c r="G52" s="7">
        <v>46</v>
      </c>
      <c r="H52" s="7">
        <v>412</v>
      </c>
      <c r="I52" s="7">
        <v>1</v>
      </c>
      <c r="J52" s="7">
        <v>413</v>
      </c>
      <c r="K52" s="11">
        <f>Table213[[#This Row],[Fraud]]/Table213[[#This Row],[Grand Total]]</f>
        <v>2.4213075060532689E-3</v>
      </c>
    </row>
    <row r="53" spans="7:11" ht="15" customHeight="1" x14ac:dyDescent="0.25">
      <c r="G53" s="7">
        <v>47</v>
      </c>
      <c r="H53" s="7">
        <v>276</v>
      </c>
      <c r="I53" s="7">
        <v>1</v>
      </c>
      <c r="J53" s="7">
        <v>277</v>
      </c>
      <c r="K53" s="11">
        <f>Table213[[#This Row],[Fraud]]/Table213[[#This Row],[Grand Total]]</f>
        <v>3.6101083032490976E-3</v>
      </c>
    </row>
    <row r="54" spans="7:11" ht="15" customHeight="1" x14ac:dyDescent="0.25">
      <c r="G54" s="7">
        <v>51</v>
      </c>
      <c r="H54" s="7"/>
      <c r="I54" s="7">
        <v>1</v>
      </c>
      <c r="J54" s="7">
        <v>1</v>
      </c>
      <c r="K54" s="11">
        <f>Table213[[#This Row],[Fraud]]/Table213[[#This Row],[Grand Total]]</f>
        <v>1</v>
      </c>
    </row>
    <row r="55" spans="7:11" ht="15" customHeight="1" x14ac:dyDescent="0.25">
      <c r="G55" s="7">
        <v>53</v>
      </c>
      <c r="H55" s="7"/>
      <c r="I55" s="7">
        <v>1</v>
      </c>
      <c r="J55" s="7">
        <v>1</v>
      </c>
      <c r="K55" s="11">
        <f>Table213[[#This Row],[Fraud]]/Table213[[#This Row],[Grand Total]]</f>
        <v>1</v>
      </c>
    </row>
    <row r="56" spans="7:11" ht="15" customHeight="1" x14ac:dyDescent="0.25">
      <c r="G56" s="7">
        <v>61</v>
      </c>
      <c r="H56" s="7"/>
      <c r="I56" s="7">
        <v>1</v>
      </c>
      <c r="J56" s="7">
        <v>1</v>
      </c>
      <c r="K56" s="11">
        <f>Table213[[#This Row],[Fraud]]/Table213[[#This Row],[Grand Total]]</f>
        <v>1</v>
      </c>
    </row>
    <row r="57" spans="7:11" ht="15" customHeight="1" x14ac:dyDescent="0.25">
      <c r="G57" s="7">
        <v>64</v>
      </c>
      <c r="H57" s="7"/>
      <c r="I57" s="7">
        <v>1</v>
      </c>
      <c r="J57" s="7">
        <v>1</v>
      </c>
      <c r="K57" s="11">
        <f>Table213[[#This Row],[Fraud]]/Table213[[#This Row],[Grand Total]]</f>
        <v>1</v>
      </c>
    </row>
    <row r="58" spans="7:11" ht="15" customHeight="1" x14ac:dyDescent="0.25">
      <c r="G58" s="7">
        <v>65</v>
      </c>
      <c r="H58" s="7"/>
      <c r="I58" s="7">
        <v>1</v>
      </c>
      <c r="J58" s="7">
        <v>1</v>
      </c>
      <c r="K58" s="11">
        <f>Table213[[#This Row],[Fraud]]/Table213[[#This Row],[Grand Total]]</f>
        <v>1</v>
      </c>
    </row>
    <row r="59" spans="7:11" ht="15" customHeight="1" x14ac:dyDescent="0.25">
      <c r="G59" s="7">
        <v>74</v>
      </c>
      <c r="H59" s="7"/>
      <c r="I59" s="7">
        <v>1</v>
      </c>
      <c r="J59" s="7">
        <v>1</v>
      </c>
      <c r="K59" s="11">
        <f>Table213[[#This Row],[Fraud]]/Table213[[#This Row],[Grand Total]]</f>
        <v>1</v>
      </c>
    </row>
    <row r="60" spans="7:11" ht="15" customHeight="1" x14ac:dyDescent="0.25">
      <c r="G60" s="7">
        <v>85</v>
      </c>
      <c r="H60" s="7"/>
      <c r="I60" s="7">
        <v>1</v>
      </c>
      <c r="J60" s="7">
        <v>1</v>
      </c>
      <c r="K60" s="11">
        <f>Table213[[#This Row],[Fraud]]/Table213[[#This Row],[Grand Total]]</f>
        <v>1</v>
      </c>
    </row>
    <row r="61" spans="7:11" ht="15" customHeight="1" x14ac:dyDescent="0.25">
      <c r="G61" s="7">
        <v>90</v>
      </c>
      <c r="H61" s="7"/>
      <c r="I61" s="7">
        <v>1</v>
      </c>
      <c r="J61" s="7">
        <v>1</v>
      </c>
      <c r="K61" s="11">
        <f>Table213[[#This Row],[Fraud]]/Table213[[#This Row],[Grand Total]]</f>
        <v>1</v>
      </c>
    </row>
    <row r="62" spans="7:11" ht="15" customHeight="1" x14ac:dyDescent="0.25">
      <c r="G62" s="7">
        <v>94</v>
      </c>
      <c r="H62" s="7">
        <v>318</v>
      </c>
      <c r="I62" s="7">
        <v>1</v>
      </c>
      <c r="J62" s="7">
        <v>319</v>
      </c>
      <c r="K62" s="11">
        <f>Table213[[#This Row],[Fraud]]/Table213[[#This Row],[Grand Total]]</f>
        <v>3.134796238244514E-3</v>
      </c>
    </row>
    <row r="63" spans="7:11" ht="15" customHeight="1" x14ac:dyDescent="0.25">
      <c r="G63" s="7">
        <v>105</v>
      </c>
      <c r="H63" s="7"/>
      <c r="I63" s="7">
        <v>1</v>
      </c>
      <c r="J63" s="7">
        <v>1</v>
      </c>
      <c r="K63" s="11">
        <f>Table213[[#This Row],[Fraud]]/Table213[[#This Row],[Grand Total]]</f>
        <v>1</v>
      </c>
    </row>
    <row r="64" spans="7:11" ht="15" customHeight="1" x14ac:dyDescent="0.25">
      <c r="G64" s="7">
        <v>110</v>
      </c>
      <c r="H64" s="7"/>
      <c r="I64" s="7">
        <v>1</v>
      </c>
      <c r="J64" s="7">
        <v>1</v>
      </c>
      <c r="K64" s="11">
        <f>Table213[[#This Row],[Fraud]]/Table213[[#This Row],[Grand Total]]</f>
        <v>1</v>
      </c>
    </row>
    <row r="65" spans="7:11" ht="15" customHeight="1" x14ac:dyDescent="0.25">
      <c r="G65" s="7">
        <v>118</v>
      </c>
      <c r="H65" s="7"/>
      <c r="I65" s="7">
        <v>1</v>
      </c>
      <c r="J65" s="7">
        <v>1</v>
      </c>
      <c r="K65" s="11">
        <f>Table213[[#This Row],[Fraud]]/Table213[[#This Row],[Grand Total]]</f>
        <v>1</v>
      </c>
    </row>
    <row r="66" spans="7:11" ht="15" customHeight="1" x14ac:dyDescent="0.25">
      <c r="G66" s="7">
        <v>120</v>
      </c>
      <c r="H66" s="7">
        <v>86</v>
      </c>
      <c r="I66" s="7">
        <v>1</v>
      </c>
      <c r="J66" s="7">
        <v>87</v>
      </c>
      <c r="K66" s="11">
        <f>Table213[[#This Row],[Fraud]]/Table213[[#This Row],[Grand Total]]</f>
        <v>1.1494252873563218E-2</v>
      </c>
    </row>
    <row r="67" spans="7:11" ht="15" customHeight="1" x14ac:dyDescent="0.25">
      <c r="G67" s="7">
        <v>125</v>
      </c>
      <c r="H67" s="7"/>
      <c r="I67" s="7">
        <v>1</v>
      </c>
      <c r="J67" s="7">
        <v>1</v>
      </c>
      <c r="K67" s="11">
        <f>Table213[[#This Row],[Fraud]]/Table213[[#This Row],[Grand Total]]</f>
        <v>1</v>
      </c>
    </row>
    <row r="68" spans="7:11" ht="15" customHeight="1" x14ac:dyDescent="0.25">
      <c r="G68" s="7">
        <v>128</v>
      </c>
      <c r="H68" s="7"/>
      <c r="I68" s="7">
        <v>1</v>
      </c>
      <c r="J68" s="7">
        <v>1</v>
      </c>
      <c r="K68" s="11">
        <f>Table213[[#This Row],[Fraud]]/Table213[[#This Row],[Grand Total]]</f>
        <v>1</v>
      </c>
    </row>
    <row r="69" spans="7:11" ht="15" customHeight="1" x14ac:dyDescent="0.25">
      <c r="G69" s="7">
        <v>129</v>
      </c>
      <c r="H69" s="7">
        <v>665</v>
      </c>
      <c r="I69" s="7">
        <v>1</v>
      </c>
      <c r="J69" s="7">
        <v>666</v>
      </c>
      <c r="K69" s="11">
        <f>Table213[[#This Row],[Fraud]]/Table213[[#This Row],[Grand Total]]</f>
        <v>1.5015015015015015E-3</v>
      </c>
    </row>
    <row r="70" spans="7:11" ht="15" customHeight="1" x14ac:dyDescent="0.25">
      <c r="G70" s="7">
        <v>133</v>
      </c>
      <c r="H70" s="7">
        <v>1060</v>
      </c>
      <c r="I70" s="7">
        <v>1</v>
      </c>
      <c r="J70" s="7">
        <v>1061</v>
      </c>
      <c r="K70" s="11">
        <f>Table213[[#This Row],[Fraud]]/Table213[[#This Row],[Grand Total]]</f>
        <v>9.42507068803016E-4</v>
      </c>
    </row>
    <row r="71" spans="7:11" ht="15" customHeight="1" x14ac:dyDescent="0.25">
      <c r="G71" s="7">
        <v>137</v>
      </c>
      <c r="H71" s="7">
        <v>1005</v>
      </c>
      <c r="I71" s="7">
        <v>1</v>
      </c>
      <c r="J71" s="7">
        <v>1006</v>
      </c>
      <c r="K71" s="11">
        <f>Table213[[#This Row],[Fraud]]/Table213[[#This Row],[Grand Total]]</f>
        <v>9.9403578528827028E-4</v>
      </c>
    </row>
    <row r="72" spans="7:11" ht="15" customHeight="1" x14ac:dyDescent="0.25">
      <c r="G72" s="7">
        <v>139</v>
      </c>
      <c r="H72" s="7">
        <v>1493</v>
      </c>
      <c r="I72" s="7">
        <v>1</v>
      </c>
      <c r="J72" s="7">
        <v>1494</v>
      </c>
      <c r="K72" s="11">
        <f>Table213[[#This Row],[Fraud]]/Table213[[#This Row],[Grand Total]]</f>
        <v>6.6934404283801872E-4</v>
      </c>
    </row>
    <row r="73" spans="7:11" ht="15" customHeight="1" x14ac:dyDescent="0.25">
      <c r="G73" s="7">
        <v>143</v>
      </c>
      <c r="H73" s="7">
        <v>234</v>
      </c>
      <c r="I73" s="7">
        <v>1</v>
      </c>
      <c r="J73" s="7">
        <v>235</v>
      </c>
      <c r="K73" s="11">
        <f>Table213[[#This Row],[Fraud]]/Table213[[#This Row],[Grand Total]]</f>
        <v>4.2553191489361703E-3</v>
      </c>
    </row>
    <row r="74" spans="7:11" ht="15" customHeight="1" x14ac:dyDescent="0.25">
      <c r="G74" s="7">
        <v>146</v>
      </c>
      <c r="H74" s="7">
        <v>14</v>
      </c>
      <c r="I74" s="7">
        <v>1</v>
      </c>
      <c r="J74" s="7">
        <v>15</v>
      </c>
      <c r="K74" s="11">
        <f>Table213[[#This Row],[Fraud]]/Table213[[#This Row],[Grand Total]]</f>
        <v>6.6666666666666666E-2</v>
      </c>
    </row>
    <row r="75" spans="7:11" ht="15" customHeight="1" x14ac:dyDescent="0.25">
      <c r="G75" s="7">
        <v>148</v>
      </c>
      <c r="H75" s="7"/>
      <c r="I75" s="7">
        <v>1</v>
      </c>
      <c r="J75" s="7">
        <v>1</v>
      </c>
      <c r="K75" s="11">
        <f>Table213[[#This Row],[Fraud]]/Table213[[#This Row],[Grand Total]]</f>
        <v>1</v>
      </c>
    </row>
    <row r="76" spans="7:11" ht="15" customHeight="1" x14ac:dyDescent="0.25">
      <c r="G76" s="7">
        <v>151</v>
      </c>
      <c r="H76" s="7"/>
      <c r="I76" s="7">
        <v>1</v>
      </c>
      <c r="J76" s="7">
        <v>1</v>
      </c>
      <c r="K76" s="11">
        <f>Table213[[#This Row],[Fraud]]/Table213[[#This Row],[Grand Total]]</f>
        <v>1</v>
      </c>
    </row>
    <row r="77" spans="7:11" ht="15" customHeight="1" x14ac:dyDescent="0.25">
      <c r="G77" s="7">
        <v>155</v>
      </c>
      <c r="H77" s="7">
        <v>950</v>
      </c>
      <c r="I77" s="7">
        <v>1</v>
      </c>
      <c r="J77" s="7">
        <v>951</v>
      </c>
      <c r="K77" s="11">
        <f>Table213[[#This Row],[Fraud]]/Table213[[#This Row],[Grand Total]]</f>
        <v>1.0515247108307045E-3</v>
      </c>
    </row>
    <row r="78" spans="7:11" ht="15" customHeight="1" x14ac:dyDescent="0.25">
      <c r="G78" s="7">
        <v>156</v>
      </c>
      <c r="H78" s="7">
        <v>892</v>
      </c>
      <c r="I78" s="7">
        <v>1</v>
      </c>
      <c r="J78" s="7">
        <v>893</v>
      </c>
      <c r="K78" s="11">
        <f>Table213[[#This Row],[Fraud]]/Table213[[#This Row],[Grand Total]]</f>
        <v>1.1198208286674132E-3</v>
      </c>
    </row>
    <row r="79" spans="7:11" ht="15" customHeight="1" x14ac:dyDescent="0.25">
      <c r="G79" s="7">
        <v>157</v>
      </c>
      <c r="H79" s="7">
        <v>972</v>
      </c>
      <c r="I79" s="7">
        <v>1</v>
      </c>
      <c r="J79" s="7">
        <v>973</v>
      </c>
      <c r="K79" s="11">
        <f>Table213[[#This Row],[Fraud]]/Table213[[#This Row],[Grand Total]]</f>
        <v>1.0277492291880781E-3</v>
      </c>
    </row>
    <row r="80" spans="7:11" ht="15" customHeight="1" x14ac:dyDescent="0.25">
      <c r="G80" s="7">
        <v>158</v>
      </c>
      <c r="H80" s="7">
        <v>891</v>
      </c>
      <c r="I80" s="7">
        <v>1</v>
      </c>
      <c r="J80" s="7">
        <v>892</v>
      </c>
      <c r="K80" s="11">
        <f>Table213[[#This Row],[Fraud]]/Table213[[#This Row],[Grand Total]]</f>
        <v>1.1210762331838565E-3</v>
      </c>
    </row>
    <row r="81" spans="7:11" ht="15" customHeight="1" x14ac:dyDescent="0.25">
      <c r="G81" s="7">
        <v>161</v>
      </c>
      <c r="H81" s="7">
        <v>1058</v>
      </c>
      <c r="I81" s="7">
        <v>1</v>
      </c>
      <c r="J81" s="7">
        <v>1059</v>
      </c>
      <c r="K81" s="11">
        <f>Table213[[#This Row],[Fraud]]/Table213[[#This Row],[Grand Total]]</f>
        <v>9.4428706326723328E-4</v>
      </c>
    </row>
    <row r="82" spans="7:11" ht="15" customHeight="1" x14ac:dyDescent="0.25">
      <c r="G82" s="7">
        <v>177</v>
      </c>
      <c r="H82" s="7">
        <v>527</v>
      </c>
      <c r="I82" s="7">
        <v>1</v>
      </c>
      <c r="J82" s="7">
        <v>528</v>
      </c>
      <c r="K82" s="11">
        <f>Table213[[#This Row],[Fraud]]/Table213[[#This Row],[Grand Total]]</f>
        <v>1.893939393939394E-3</v>
      </c>
    </row>
    <row r="83" spans="7:11" ht="15" customHeight="1" x14ac:dyDescent="0.25">
      <c r="G83" s="7">
        <v>184</v>
      </c>
      <c r="H83" s="7">
        <v>990</v>
      </c>
      <c r="I83" s="7">
        <v>1</v>
      </c>
      <c r="J83" s="7">
        <v>991</v>
      </c>
      <c r="K83" s="11">
        <f>Table213[[#This Row],[Fraud]]/Table213[[#This Row],[Grand Total]]</f>
        <v>1.0090817356205853E-3</v>
      </c>
    </row>
    <row r="84" spans="7:11" ht="15" customHeight="1" x14ac:dyDescent="0.25">
      <c r="G84" s="7">
        <v>186</v>
      </c>
      <c r="H84" s="7">
        <v>1396</v>
      </c>
      <c r="I84" s="7">
        <v>1</v>
      </c>
      <c r="J84" s="7">
        <v>1397</v>
      </c>
      <c r="K84" s="11">
        <f>Table213[[#This Row],[Fraud]]/Table213[[#This Row],[Grand Total]]</f>
        <v>7.158196134574087E-4</v>
      </c>
    </row>
    <row r="85" spans="7:11" ht="15" customHeight="1" x14ac:dyDescent="0.25">
      <c r="G85" s="7">
        <v>187</v>
      </c>
      <c r="H85" s="7">
        <v>1560</v>
      </c>
      <c r="I85" s="7">
        <v>1</v>
      </c>
      <c r="J85" s="7">
        <v>1561</v>
      </c>
      <c r="K85" s="11">
        <f>Table213[[#This Row],[Fraud]]/Table213[[#This Row],[Grand Total]]</f>
        <v>6.406149903907751E-4</v>
      </c>
    </row>
    <row r="86" spans="7:11" ht="15" customHeight="1" x14ac:dyDescent="0.25">
      <c r="G86" s="7">
        <v>189</v>
      </c>
      <c r="H86" s="7">
        <v>547</v>
      </c>
      <c r="I86" s="7">
        <v>1</v>
      </c>
      <c r="J86" s="7">
        <v>548</v>
      </c>
      <c r="K86" s="11">
        <f>Table213[[#This Row],[Fraud]]/Table213[[#This Row],[Grand Total]]</f>
        <v>1.8248175182481751E-3</v>
      </c>
    </row>
    <row r="87" spans="7:11" ht="15" customHeight="1" x14ac:dyDescent="0.25">
      <c r="G87" s="7">
        <v>194</v>
      </c>
      <c r="H87" s="7">
        <v>23</v>
      </c>
      <c r="I87" s="7">
        <v>1</v>
      </c>
      <c r="J87" s="7">
        <v>24</v>
      </c>
      <c r="K87" s="11">
        <f>Table213[[#This Row],[Fraud]]/Table213[[#This Row],[Grand Total]]</f>
        <v>4.1666666666666664E-2</v>
      </c>
    </row>
    <row r="88" spans="7:11" ht="15" customHeight="1" x14ac:dyDescent="0.25">
      <c r="G88" s="7">
        <v>199</v>
      </c>
      <c r="H88" s="7"/>
      <c r="I88" s="7">
        <v>1</v>
      </c>
      <c r="J88" s="7">
        <v>1</v>
      </c>
      <c r="K88" s="11">
        <f>Table213[[#This Row],[Fraud]]/Table213[[#This Row],[Grand Total]]</f>
        <v>1</v>
      </c>
    </row>
    <row r="89" spans="7:11" ht="15" customHeight="1" x14ac:dyDescent="0.25">
      <c r="G89" s="7">
        <v>206</v>
      </c>
      <c r="H89" s="7">
        <v>973</v>
      </c>
      <c r="I89" s="7">
        <v>1</v>
      </c>
      <c r="J89" s="7">
        <v>974</v>
      </c>
      <c r="K89" s="11">
        <f>Table213[[#This Row],[Fraud]]/Table213[[#This Row],[Grand Total]]</f>
        <v>1.026694045174538E-3</v>
      </c>
    </row>
    <row r="90" spans="7:11" ht="15" customHeight="1" x14ac:dyDescent="0.25">
      <c r="G90" s="7">
        <v>223</v>
      </c>
      <c r="H90" s="7"/>
      <c r="I90" s="7">
        <v>1</v>
      </c>
      <c r="J90" s="7">
        <v>1</v>
      </c>
      <c r="K90" s="11">
        <f>Table213[[#This Row],[Fraud]]/Table213[[#This Row],[Grand Total]]</f>
        <v>1</v>
      </c>
    </row>
    <row r="91" spans="7:11" ht="15" customHeight="1" x14ac:dyDescent="0.25">
      <c r="G91" s="7">
        <v>224</v>
      </c>
      <c r="H91" s="7"/>
      <c r="I91" s="7">
        <v>1</v>
      </c>
      <c r="J91" s="7">
        <v>1</v>
      </c>
      <c r="K91" s="11">
        <f>Table213[[#This Row],[Fraud]]/Table213[[#This Row],[Grand Total]]</f>
        <v>1</v>
      </c>
    </row>
    <row r="92" spans="7:11" ht="15" customHeight="1" x14ac:dyDescent="0.25">
      <c r="G92" s="7">
        <v>227</v>
      </c>
      <c r="H92" s="7">
        <v>1015</v>
      </c>
      <c r="I92" s="7">
        <v>1</v>
      </c>
      <c r="J92" s="7">
        <v>1016</v>
      </c>
      <c r="K92" s="11">
        <f>Table213[[#This Row],[Fraud]]/Table213[[#This Row],[Grand Total]]</f>
        <v>9.8425196850393699E-4</v>
      </c>
    </row>
    <row r="93" spans="7:11" ht="15" customHeight="1" x14ac:dyDescent="0.25">
      <c r="G93" s="7">
        <v>233</v>
      </c>
      <c r="H93" s="7">
        <v>459</v>
      </c>
      <c r="I93" s="7">
        <v>1</v>
      </c>
      <c r="J93" s="7">
        <v>460</v>
      </c>
      <c r="K93" s="11">
        <f>Table213[[#This Row],[Fraud]]/Table213[[#This Row],[Grand Total]]</f>
        <v>2.1739130434782609E-3</v>
      </c>
    </row>
    <row r="94" spans="7:11" ht="15" customHeight="1" x14ac:dyDescent="0.25">
      <c r="G94" s="7">
        <v>235</v>
      </c>
      <c r="H94" s="7">
        <v>1529</v>
      </c>
      <c r="I94" s="7">
        <v>1</v>
      </c>
      <c r="J94" s="7">
        <v>1530</v>
      </c>
      <c r="K94" s="11">
        <f>Table213[[#This Row],[Fraud]]/Table213[[#This Row],[Grand Total]]</f>
        <v>6.5359477124183002E-4</v>
      </c>
    </row>
    <row r="95" spans="7:11" ht="15" customHeight="1" x14ac:dyDescent="0.25">
      <c r="G95" s="7">
        <v>249</v>
      </c>
      <c r="H95" s="7">
        <v>738</v>
      </c>
      <c r="I95" s="7">
        <v>1</v>
      </c>
      <c r="J95" s="7">
        <v>739</v>
      </c>
      <c r="K95" s="11">
        <f>Table213[[#This Row],[Fraud]]/Table213[[#This Row],[Grand Total]]</f>
        <v>1.3531799729364006E-3</v>
      </c>
    </row>
    <row r="96" spans="7:11" ht="15" customHeight="1" x14ac:dyDescent="0.25">
      <c r="G96" s="7">
        <v>255</v>
      </c>
      <c r="H96" s="7">
        <v>882</v>
      </c>
      <c r="I96" s="7">
        <v>1</v>
      </c>
      <c r="J96" s="7">
        <v>883</v>
      </c>
      <c r="K96" s="11">
        <f>Table213[[#This Row],[Fraud]]/Table213[[#This Row],[Grand Total]]</f>
        <v>1.1325028312570782E-3</v>
      </c>
    </row>
    <row r="97" spans="7:11" ht="15" customHeight="1" x14ac:dyDescent="0.25">
      <c r="G97" s="7">
        <v>262</v>
      </c>
      <c r="H97" s="7">
        <v>339</v>
      </c>
      <c r="I97" s="7">
        <v>1</v>
      </c>
      <c r="J97" s="7">
        <v>340</v>
      </c>
      <c r="K97" s="11">
        <f>Table213[[#This Row],[Fraud]]/Table213[[#This Row],[Grand Total]]</f>
        <v>2.9411764705882353E-3</v>
      </c>
    </row>
    <row r="98" spans="7:11" ht="15" customHeight="1" x14ac:dyDescent="0.25">
      <c r="G98" s="7">
        <v>264</v>
      </c>
      <c r="H98" s="7">
        <v>122</v>
      </c>
      <c r="I98" s="7">
        <v>1</v>
      </c>
      <c r="J98" s="7">
        <v>123</v>
      </c>
      <c r="K98" s="11">
        <f>Table213[[#This Row],[Fraud]]/Table213[[#This Row],[Grand Total]]</f>
        <v>8.130081300813009E-3</v>
      </c>
    </row>
    <row r="99" spans="7:11" ht="15" customHeight="1" x14ac:dyDescent="0.25">
      <c r="G99" s="7">
        <v>265</v>
      </c>
      <c r="H99" s="7">
        <v>38</v>
      </c>
      <c r="I99" s="7">
        <v>1</v>
      </c>
      <c r="J99" s="7">
        <v>39</v>
      </c>
      <c r="K99" s="11">
        <f>Table213[[#This Row],[Fraud]]/Table213[[#This Row],[Grand Total]]</f>
        <v>2.564102564102564E-2</v>
      </c>
    </row>
    <row r="100" spans="7:11" ht="15" customHeight="1" x14ac:dyDescent="0.25">
      <c r="G100" s="7">
        <v>268</v>
      </c>
      <c r="H100" s="7"/>
      <c r="I100" s="7">
        <v>1</v>
      </c>
      <c r="J100" s="7">
        <v>1</v>
      </c>
      <c r="K100" s="11">
        <f>Table213[[#This Row],[Fraud]]/Table213[[#This Row],[Grand Total]]</f>
        <v>1</v>
      </c>
    </row>
    <row r="101" spans="7:11" ht="15" customHeight="1" x14ac:dyDescent="0.25">
      <c r="G101" s="7">
        <v>272</v>
      </c>
      <c r="H101" s="7"/>
      <c r="I101" s="7">
        <v>1</v>
      </c>
      <c r="J101" s="7">
        <v>1</v>
      </c>
      <c r="K101" s="11">
        <f>Table213[[#This Row],[Fraud]]/Table213[[#This Row],[Grand Total]]</f>
        <v>1</v>
      </c>
    </row>
    <row r="102" spans="7:11" ht="15" customHeight="1" x14ac:dyDescent="0.25">
      <c r="G102" s="7">
        <v>278</v>
      </c>
      <c r="H102" s="7">
        <v>832</v>
      </c>
      <c r="I102" s="7">
        <v>1</v>
      </c>
      <c r="J102" s="7">
        <v>833</v>
      </c>
      <c r="K102" s="11">
        <f>Table213[[#This Row],[Fraud]]/Table213[[#This Row],[Grand Total]]</f>
        <v>1.2004801920768306E-3</v>
      </c>
    </row>
    <row r="103" spans="7:11" ht="15" customHeight="1" x14ac:dyDescent="0.25">
      <c r="G103" s="7">
        <v>282</v>
      </c>
      <c r="H103" s="7">
        <v>956</v>
      </c>
      <c r="I103" s="7">
        <v>1</v>
      </c>
      <c r="J103" s="7">
        <v>957</v>
      </c>
      <c r="K103" s="11">
        <f>Table213[[#This Row],[Fraud]]/Table213[[#This Row],[Grand Total]]</f>
        <v>1.0449320794148381E-3</v>
      </c>
    </row>
    <row r="104" spans="7:11" ht="15" customHeight="1" x14ac:dyDescent="0.25">
      <c r="G104" s="7">
        <v>284</v>
      </c>
      <c r="H104" s="7">
        <v>1048</v>
      </c>
      <c r="I104" s="7">
        <v>1</v>
      </c>
      <c r="J104" s="7">
        <v>1049</v>
      </c>
      <c r="K104" s="11">
        <f>Table213[[#This Row],[Fraud]]/Table213[[#This Row],[Grand Total]]</f>
        <v>9.5328884652049568E-4</v>
      </c>
    </row>
    <row r="105" spans="7:11" ht="15" customHeight="1" x14ac:dyDescent="0.25">
      <c r="G105" s="7">
        <v>291</v>
      </c>
      <c r="H105" s="7">
        <v>1</v>
      </c>
      <c r="I105" s="7">
        <v>1</v>
      </c>
      <c r="J105" s="7">
        <v>2</v>
      </c>
      <c r="K105" s="11">
        <f>Table213[[#This Row],[Fraud]]/Table213[[#This Row],[Grand Total]]</f>
        <v>0.5</v>
      </c>
    </row>
    <row r="106" spans="7:11" ht="15" customHeight="1" x14ac:dyDescent="0.25">
      <c r="G106" s="7">
        <v>294</v>
      </c>
      <c r="H106" s="7"/>
      <c r="I106" s="7">
        <v>1</v>
      </c>
      <c r="J106" s="7">
        <v>1</v>
      </c>
      <c r="K106" s="11">
        <f>Table213[[#This Row],[Fraud]]/Table213[[#This Row],[Grand Total]]</f>
        <v>1</v>
      </c>
    </row>
    <row r="107" spans="7:11" ht="15" customHeight="1" x14ac:dyDescent="0.25">
      <c r="G107" s="7">
        <v>296</v>
      </c>
      <c r="H107" s="7"/>
      <c r="I107" s="7">
        <v>1</v>
      </c>
      <c r="J107" s="7">
        <v>1</v>
      </c>
      <c r="K107" s="11">
        <f>Table213[[#This Row],[Fraud]]/Table213[[#This Row],[Grand Total]]</f>
        <v>1</v>
      </c>
    </row>
    <row r="108" spans="7:11" ht="15" customHeight="1" x14ac:dyDescent="0.25">
      <c r="G108" s="7">
        <v>299</v>
      </c>
      <c r="H108" s="7">
        <v>995</v>
      </c>
      <c r="I108" s="7">
        <v>1</v>
      </c>
      <c r="J108" s="7">
        <v>996</v>
      </c>
      <c r="K108" s="11">
        <f>Table213[[#This Row],[Fraud]]/Table213[[#This Row],[Grand Total]]</f>
        <v>1.004016064257028E-3</v>
      </c>
    </row>
    <row r="109" spans="7:11" ht="15" customHeight="1" x14ac:dyDescent="0.25">
      <c r="G109" s="7">
        <v>305</v>
      </c>
      <c r="H109" s="7">
        <v>1138</v>
      </c>
      <c r="I109" s="7">
        <v>1</v>
      </c>
      <c r="J109" s="7">
        <v>1139</v>
      </c>
      <c r="K109" s="11">
        <f>Table213[[#This Row],[Fraud]]/Table213[[#This Row],[Grand Total]]</f>
        <v>8.7796312554872696E-4</v>
      </c>
    </row>
    <row r="110" spans="7:11" ht="15" customHeight="1" x14ac:dyDescent="0.25">
      <c r="G110" s="7">
        <v>312</v>
      </c>
      <c r="H110" s="7">
        <v>105</v>
      </c>
      <c r="I110" s="7">
        <v>1</v>
      </c>
      <c r="J110" s="7">
        <v>106</v>
      </c>
      <c r="K110" s="11">
        <f>Table213[[#This Row],[Fraud]]/Table213[[#This Row],[Grand Total]]</f>
        <v>9.433962264150943E-3</v>
      </c>
    </row>
    <row r="111" spans="7:11" ht="15" customHeight="1" x14ac:dyDescent="0.25">
      <c r="G111" s="7">
        <v>319</v>
      </c>
      <c r="H111" s="7"/>
      <c r="I111" s="7">
        <v>1</v>
      </c>
      <c r="J111" s="7">
        <v>1</v>
      </c>
      <c r="K111" s="11">
        <f>Table213[[#This Row],[Fraud]]/Table213[[#This Row],[Grand Total]]</f>
        <v>1</v>
      </c>
    </row>
    <row r="112" spans="7:11" ht="15" customHeight="1" x14ac:dyDescent="0.25">
      <c r="G112" s="7">
        <v>322</v>
      </c>
      <c r="H112" s="7">
        <v>859</v>
      </c>
      <c r="I112" s="7">
        <v>1</v>
      </c>
      <c r="J112" s="7">
        <v>860</v>
      </c>
      <c r="K112" s="11">
        <f>Table213[[#This Row],[Fraud]]/Table213[[#This Row],[Grand Total]]</f>
        <v>1.1627906976744186E-3</v>
      </c>
    </row>
    <row r="113" spans="7:11" ht="15" customHeight="1" x14ac:dyDescent="0.25">
      <c r="G113" s="7">
        <v>323</v>
      </c>
      <c r="H113" s="7">
        <v>905</v>
      </c>
      <c r="I113" s="7">
        <v>1</v>
      </c>
      <c r="J113" s="7">
        <v>906</v>
      </c>
      <c r="K113" s="11">
        <f>Table213[[#This Row],[Fraud]]/Table213[[#This Row],[Grand Total]]</f>
        <v>1.1037527593818985E-3</v>
      </c>
    </row>
    <row r="114" spans="7:11" ht="15" customHeight="1" x14ac:dyDescent="0.25">
      <c r="G114" s="7">
        <v>324</v>
      </c>
      <c r="H114" s="7">
        <v>914</v>
      </c>
      <c r="I114" s="7">
        <v>1</v>
      </c>
      <c r="J114" s="7">
        <v>915</v>
      </c>
      <c r="K114" s="11">
        <f>Table213[[#This Row],[Fraud]]/Table213[[#This Row],[Grand Total]]</f>
        <v>1.092896174863388E-3</v>
      </c>
    </row>
    <row r="115" spans="7:11" ht="15" customHeight="1" x14ac:dyDescent="0.25">
      <c r="G115" s="7">
        <v>332</v>
      </c>
      <c r="H115" s="7">
        <v>1096</v>
      </c>
      <c r="I115" s="7">
        <v>1</v>
      </c>
      <c r="J115" s="7">
        <v>1097</v>
      </c>
      <c r="K115" s="11">
        <f>Table213[[#This Row],[Fraud]]/Table213[[#This Row],[Grand Total]]</f>
        <v>9.1157702825888785E-4</v>
      </c>
    </row>
    <row r="116" spans="7:11" ht="15" customHeight="1" x14ac:dyDescent="0.25">
      <c r="G116" s="7">
        <v>336</v>
      </c>
      <c r="H116" s="7">
        <v>87</v>
      </c>
      <c r="I116" s="7">
        <v>1</v>
      </c>
      <c r="J116" s="7">
        <v>88</v>
      </c>
      <c r="K116" s="11">
        <f>Table213[[#This Row],[Fraud]]/Table213[[#This Row],[Grand Total]]</f>
        <v>1.1363636363636364E-2</v>
      </c>
    </row>
    <row r="117" spans="7:11" ht="15" customHeight="1" x14ac:dyDescent="0.25">
      <c r="G117" s="7">
        <v>340</v>
      </c>
      <c r="H117" s="7"/>
      <c r="I117" s="7">
        <v>1</v>
      </c>
      <c r="J117" s="7">
        <v>1</v>
      </c>
      <c r="K117" s="11">
        <f>Table213[[#This Row],[Fraud]]/Table213[[#This Row],[Grand Total]]</f>
        <v>1</v>
      </c>
    </row>
    <row r="118" spans="7:11" ht="15" customHeight="1" x14ac:dyDescent="0.25">
      <c r="G118" s="7">
        <v>342</v>
      </c>
      <c r="H118" s="7"/>
      <c r="I118" s="7">
        <v>1</v>
      </c>
      <c r="J118" s="7">
        <v>1</v>
      </c>
      <c r="K118" s="11">
        <f>Table213[[#This Row],[Fraud]]/Table213[[#This Row],[Grand Total]]</f>
        <v>1</v>
      </c>
    </row>
    <row r="119" spans="7:11" ht="15" customHeight="1" x14ac:dyDescent="0.25">
      <c r="G119" s="7">
        <v>343</v>
      </c>
      <c r="H119" s="7"/>
      <c r="I119" s="7">
        <v>1</v>
      </c>
      <c r="J119" s="7">
        <v>1</v>
      </c>
      <c r="K119" s="11">
        <f>Table213[[#This Row],[Fraud]]/Table213[[#This Row],[Grand Total]]</f>
        <v>1</v>
      </c>
    </row>
    <row r="120" spans="7:11" ht="15" customHeight="1" x14ac:dyDescent="0.25">
      <c r="G120" s="7">
        <v>345</v>
      </c>
      <c r="H120" s="7">
        <v>448</v>
      </c>
      <c r="I120" s="7">
        <v>1</v>
      </c>
      <c r="J120" s="7">
        <v>449</v>
      </c>
      <c r="K120" s="11">
        <f>Table213[[#This Row],[Fraud]]/Table213[[#This Row],[Grand Total]]</f>
        <v>2.2271714922048997E-3</v>
      </c>
    </row>
    <row r="121" spans="7:11" ht="15" customHeight="1" x14ac:dyDescent="0.25">
      <c r="G121" s="7">
        <v>349</v>
      </c>
      <c r="H121" s="7">
        <v>937</v>
      </c>
      <c r="I121" s="7">
        <v>1</v>
      </c>
      <c r="J121" s="7">
        <v>938</v>
      </c>
      <c r="K121" s="11">
        <f>Table213[[#This Row],[Fraud]]/Table213[[#This Row],[Grand Total]]</f>
        <v>1.0660980810234541E-3</v>
      </c>
    </row>
    <row r="122" spans="7:11" ht="15" customHeight="1" x14ac:dyDescent="0.25">
      <c r="G122" s="7">
        <v>352</v>
      </c>
      <c r="H122" s="7">
        <v>876</v>
      </c>
      <c r="I122" s="7">
        <v>1</v>
      </c>
      <c r="J122" s="7">
        <v>877</v>
      </c>
      <c r="K122" s="11">
        <f>Table213[[#This Row],[Fraud]]/Table213[[#This Row],[Grand Total]]</f>
        <v>1.1402508551881414E-3</v>
      </c>
    </row>
    <row r="123" spans="7:11" ht="15" customHeight="1" x14ac:dyDescent="0.25">
      <c r="G123" s="7">
        <v>356</v>
      </c>
      <c r="H123" s="7">
        <v>1088</v>
      </c>
      <c r="I123" s="7">
        <v>1</v>
      </c>
      <c r="J123" s="7">
        <v>1089</v>
      </c>
      <c r="K123" s="11">
        <f>Table213[[#This Row],[Fraud]]/Table213[[#This Row],[Grand Total]]</f>
        <v>9.1827364554637281E-4</v>
      </c>
    </row>
    <row r="124" spans="7:11" ht="15" customHeight="1" x14ac:dyDescent="0.25">
      <c r="G124" s="7">
        <v>359</v>
      </c>
      <c r="H124" s="7">
        <v>254</v>
      </c>
      <c r="I124" s="7">
        <v>1</v>
      </c>
      <c r="J124" s="7">
        <v>255</v>
      </c>
      <c r="K124" s="11">
        <f>Table213[[#This Row],[Fraud]]/Table213[[#This Row],[Grand Total]]</f>
        <v>3.9215686274509803E-3</v>
      </c>
    </row>
    <row r="125" spans="7:11" ht="15" customHeight="1" x14ac:dyDescent="0.25">
      <c r="G125" s="7">
        <v>374</v>
      </c>
      <c r="H125" s="7">
        <v>958</v>
      </c>
      <c r="I125" s="7">
        <v>1</v>
      </c>
      <c r="J125" s="7">
        <v>959</v>
      </c>
      <c r="K125" s="11">
        <f>Table213[[#This Row],[Fraud]]/Table213[[#This Row],[Grand Total]]</f>
        <v>1.0427528675703858E-3</v>
      </c>
    </row>
    <row r="126" spans="7:11" ht="15" customHeight="1" x14ac:dyDescent="0.25">
      <c r="G126" s="7">
        <v>376</v>
      </c>
      <c r="H126" s="7">
        <v>611</v>
      </c>
      <c r="I126" s="7">
        <v>1</v>
      </c>
      <c r="J126" s="7">
        <v>612</v>
      </c>
      <c r="K126" s="11">
        <f>Table213[[#This Row],[Fraud]]/Table213[[#This Row],[Grand Total]]</f>
        <v>1.6339869281045752E-3</v>
      </c>
    </row>
    <row r="127" spans="7:11" ht="15" customHeight="1" x14ac:dyDescent="0.25">
      <c r="G127" s="7">
        <v>380</v>
      </c>
      <c r="H127" s="7">
        <v>1150</v>
      </c>
      <c r="I127" s="7">
        <v>1</v>
      </c>
      <c r="J127" s="7">
        <v>1151</v>
      </c>
      <c r="K127" s="11">
        <f>Table213[[#This Row],[Fraud]]/Table213[[#This Row],[Grand Total]]</f>
        <v>8.6880973066898344E-4</v>
      </c>
    </row>
    <row r="128" spans="7:11" ht="15" customHeight="1" x14ac:dyDescent="0.25">
      <c r="G128" s="7">
        <v>383</v>
      </c>
      <c r="H128" s="7">
        <v>243</v>
      </c>
      <c r="I128" s="7">
        <v>1</v>
      </c>
      <c r="J128" s="7">
        <v>244</v>
      </c>
      <c r="K128" s="11">
        <f>Table213[[#This Row],[Fraud]]/Table213[[#This Row],[Grand Total]]</f>
        <v>4.0983606557377051E-3</v>
      </c>
    </row>
    <row r="129" spans="7:11" ht="15" customHeight="1" x14ac:dyDescent="0.25">
      <c r="G129" s="7">
        <v>384</v>
      </c>
      <c r="H129" s="7">
        <v>95</v>
      </c>
      <c r="I129" s="7">
        <v>1</v>
      </c>
      <c r="J129" s="7">
        <v>96</v>
      </c>
      <c r="K129" s="11">
        <f>Table213[[#This Row],[Fraud]]/Table213[[#This Row],[Grand Total]]</f>
        <v>1.0416666666666666E-2</v>
      </c>
    </row>
    <row r="130" spans="7:11" ht="15" customHeight="1" x14ac:dyDescent="0.25">
      <c r="G130" s="7">
        <v>390</v>
      </c>
      <c r="H130" s="7"/>
      <c r="I130" s="7">
        <v>1</v>
      </c>
      <c r="J130" s="7">
        <v>1</v>
      </c>
      <c r="K130" s="11">
        <f>Table213[[#This Row],[Fraud]]/Table213[[#This Row],[Grand Total]]</f>
        <v>1</v>
      </c>
    </row>
    <row r="131" spans="7:11" ht="15" customHeight="1" x14ac:dyDescent="0.25">
      <c r="G131" s="7">
        <v>392</v>
      </c>
      <c r="H131" s="7"/>
      <c r="I131" s="7">
        <v>1</v>
      </c>
      <c r="J131" s="7">
        <v>1</v>
      </c>
      <c r="K131" s="11">
        <f>Table213[[#This Row],[Fraud]]/Table213[[#This Row],[Grand Total]]</f>
        <v>1</v>
      </c>
    </row>
    <row r="132" spans="7:11" ht="15" customHeight="1" x14ac:dyDescent="0.25">
      <c r="G132" s="7">
        <v>397</v>
      </c>
      <c r="H132" s="7">
        <v>934</v>
      </c>
      <c r="I132" s="7">
        <v>1</v>
      </c>
      <c r="J132" s="7">
        <v>935</v>
      </c>
      <c r="K132" s="11">
        <f>Table213[[#This Row],[Fraud]]/Table213[[#This Row],[Grand Total]]</f>
        <v>1.0695187165775401E-3</v>
      </c>
    </row>
    <row r="133" spans="7:11" ht="15" customHeight="1" x14ac:dyDescent="0.25">
      <c r="G133" s="7">
        <v>398</v>
      </c>
      <c r="H133" s="7">
        <v>831</v>
      </c>
      <c r="I133" s="7">
        <v>1</v>
      </c>
      <c r="J133" s="7">
        <v>832</v>
      </c>
      <c r="K133" s="11">
        <f>Table213[[#This Row],[Fraud]]/Table213[[#This Row],[Grand Total]]</f>
        <v>1.201923076923077E-3</v>
      </c>
    </row>
    <row r="134" spans="7:11" ht="15" customHeight="1" x14ac:dyDescent="0.25">
      <c r="G134" s="7">
        <v>400</v>
      </c>
      <c r="H134" s="7">
        <v>975</v>
      </c>
      <c r="I134" s="7">
        <v>1</v>
      </c>
      <c r="J134" s="7">
        <v>976</v>
      </c>
      <c r="K134" s="11">
        <f>Table213[[#This Row],[Fraud]]/Table213[[#This Row],[Grand Total]]</f>
        <v>1.0245901639344263E-3</v>
      </c>
    </row>
    <row r="135" spans="7:11" ht="15" customHeight="1" x14ac:dyDescent="0.25">
      <c r="G135" s="7">
        <v>401</v>
      </c>
      <c r="H135" s="7">
        <v>1051</v>
      </c>
      <c r="I135" s="7">
        <v>1</v>
      </c>
      <c r="J135" s="7">
        <v>1052</v>
      </c>
      <c r="K135" s="11">
        <f>Table213[[#This Row],[Fraud]]/Table213[[#This Row],[Grand Total]]</f>
        <v>9.5057034220532319E-4</v>
      </c>
    </row>
    <row r="136" spans="7:11" ht="15" customHeight="1" x14ac:dyDescent="0.25">
      <c r="G136" s="7">
        <v>403</v>
      </c>
      <c r="H136" s="7">
        <v>1432</v>
      </c>
      <c r="I136" s="7">
        <v>1</v>
      </c>
      <c r="J136" s="7">
        <v>1433</v>
      </c>
      <c r="K136" s="11">
        <f>Table213[[#This Row],[Fraud]]/Table213[[#This Row],[Grand Total]]</f>
        <v>6.9783670621074664E-4</v>
      </c>
    </row>
    <row r="137" spans="7:11" ht="15" customHeight="1" x14ac:dyDescent="0.25">
      <c r="G137" s="7">
        <v>405</v>
      </c>
      <c r="H137" s="7">
        <v>530</v>
      </c>
      <c r="I137" s="7">
        <v>1</v>
      </c>
      <c r="J137" s="7">
        <v>531</v>
      </c>
      <c r="K137" s="11">
        <f>Table213[[#This Row],[Fraud]]/Table213[[#This Row],[Grand Total]]</f>
        <v>1.8832391713747645E-3</v>
      </c>
    </row>
    <row r="138" spans="7:11" ht="15" customHeight="1" x14ac:dyDescent="0.25">
      <c r="G138" s="7">
        <v>406</v>
      </c>
      <c r="H138" s="7">
        <v>382</v>
      </c>
      <c r="I138" s="7">
        <v>1</v>
      </c>
      <c r="J138" s="7">
        <v>383</v>
      </c>
      <c r="K138" s="11">
        <f>Table213[[#This Row],[Fraud]]/Table213[[#This Row],[Grand Total]]</f>
        <v>2.6109660574412533E-3</v>
      </c>
    </row>
    <row r="139" spans="7:11" ht="15" customHeight="1" x14ac:dyDescent="0.25">
      <c r="G139" s="7">
        <v>410</v>
      </c>
      <c r="H139" s="7"/>
      <c r="I139" s="7">
        <v>1</v>
      </c>
      <c r="J139" s="7">
        <v>1</v>
      </c>
      <c r="K139" s="11">
        <f>Table213[[#This Row],[Fraud]]/Table213[[#This Row],[Grand Total]]</f>
        <v>1</v>
      </c>
    </row>
    <row r="140" spans="7:11" ht="15" customHeight="1" x14ac:dyDescent="0.25">
      <c r="G140" s="7">
        <v>412</v>
      </c>
      <c r="H140" s="7"/>
      <c r="I140" s="7">
        <v>1</v>
      </c>
      <c r="J140" s="7">
        <v>1</v>
      </c>
      <c r="K140" s="11">
        <f>Table213[[#This Row],[Fraud]]/Table213[[#This Row],[Grand Total]]</f>
        <v>1</v>
      </c>
    </row>
    <row r="141" spans="7:11" ht="15" customHeight="1" x14ac:dyDescent="0.25">
      <c r="G141" s="7">
        <v>413</v>
      </c>
      <c r="H141" s="7">
        <v>10</v>
      </c>
      <c r="I141" s="7">
        <v>1</v>
      </c>
      <c r="J141" s="7">
        <v>11</v>
      </c>
      <c r="K141" s="11">
        <f>Table213[[#This Row],[Fraud]]/Table213[[#This Row],[Grand Total]]</f>
        <v>9.0909090909090912E-2</v>
      </c>
    </row>
    <row r="142" spans="7:11" ht="15" customHeight="1" x14ac:dyDescent="0.25">
      <c r="G142" s="7">
        <v>416</v>
      </c>
      <c r="H142" s="7">
        <v>80</v>
      </c>
      <c r="I142" s="7">
        <v>1</v>
      </c>
      <c r="J142" s="7">
        <v>81</v>
      </c>
      <c r="K142" s="11">
        <f>Table213[[#This Row],[Fraud]]/Table213[[#This Row],[Grand Total]]</f>
        <v>1.2345679012345678E-2</v>
      </c>
    </row>
    <row r="143" spans="7:11" ht="15" customHeight="1" x14ac:dyDescent="0.25">
      <c r="G143" s="7">
        <v>417</v>
      </c>
      <c r="H143" s="7"/>
      <c r="I143" s="7">
        <v>1</v>
      </c>
      <c r="J143" s="7">
        <v>1</v>
      </c>
      <c r="K143" s="11">
        <f>Table213[[#This Row],[Fraud]]/Table213[[#This Row],[Grand Total]]</f>
        <v>1</v>
      </c>
    </row>
    <row r="144" spans="7:11" ht="15" customHeight="1" x14ac:dyDescent="0.25">
      <c r="G144" s="7">
        <v>421</v>
      </c>
      <c r="H144" s="7"/>
      <c r="I144" s="7">
        <v>1</v>
      </c>
      <c r="J144" s="7">
        <v>1</v>
      </c>
      <c r="K144" s="11">
        <f>Table213[[#This Row],[Fraud]]/Table213[[#This Row],[Grand Total]]</f>
        <v>1</v>
      </c>
    </row>
    <row r="145" spans="7:11" ht="15" customHeight="1" x14ac:dyDescent="0.25">
      <c r="G145" s="7">
        <v>423</v>
      </c>
      <c r="H145" s="7">
        <v>32</v>
      </c>
      <c r="I145" s="7">
        <v>1</v>
      </c>
      <c r="J145" s="7">
        <v>33</v>
      </c>
      <c r="K145" s="11">
        <f>Table213[[#This Row],[Fraud]]/Table213[[#This Row],[Grand Total]]</f>
        <v>3.0303030303030304E-2</v>
      </c>
    </row>
    <row r="146" spans="7:11" ht="15" customHeight="1" x14ac:dyDescent="0.25">
      <c r="G146" s="7">
        <v>438</v>
      </c>
      <c r="H146" s="7"/>
      <c r="I146" s="7">
        <v>1</v>
      </c>
      <c r="J146" s="7">
        <v>1</v>
      </c>
      <c r="K146" s="11">
        <f>Table213[[#This Row],[Fraud]]/Table213[[#This Row],[Grand Total]]</f>
        <v>1</v>
      </c>
    </row>
    <row r="147" spans="7:11" ht="15" customHeight="1" x14ac:dyDescent="0.25">
      <c r="G147" s="7">
        <v>439</v>
      </c>
      <c r="H147" s="7">
        <v>29</v>
      </c>
      <c r="I147" s="7">
        <v>1</v>
      </c>
      <c r="J147" s="7">
        <v>30</v>
      </c>
      <c r="K147" s="11">
        <f>Table213[[#This Row],[Fraud]]/Table213[[#This Row],[Grand Total]]</f>
        <v>3.3333333333333333E-2</v>
      </c>
    </row>
    <row r="148" spans="7:11" ht="15" customHeight="1" x14ac:dyDescent="0.25">
      <c r="G148" s="7">
        <v>442</v>
      </c>
      <c r="H148" s="7">
        <v>48</v>
      </c>
      <c r="I148" s="7">
        <v>1</v>
      </c>
      <c r="J148" s="7">
        <v>49</v>
      </c>
      <c r="K148" s="11">
        <f>Table213[[#This Row],[Fraud]]/Table213[[#This Row],[Grand Total]]</f>
        <v>2.0408163265306121E-2</v>
      </c>
    </row>
    <row r="149" spans="7:11" ht="15" customHeight="1" x14ac:dyDescent="0.25">
      <c r="G149" s="7">
        <v>443</v>
      </c>
      <c r="H149" s="7"/>
      <c r="I149" s="7">
        <v>1</v>
      </c>
      <c r="J149" s="7">
        <v>1</v>
      </c>
      <c r="K149" s="11">
        <f>Table213[[#This Row],[Fraud]]/Table213[[#This Row],[Grand Total]]</f>
        <v>1</v>
      </c>
    </row>
    <row r="150" spans="7:11" ht="15" customHeight="1" x14ac:dyDescent="0.25">
      <c r="G150" s="7">
        <v>450</v>
      </c>
      <c r="H150" s="7"/>
      <c r="I150" s="7">
        <v>1</v>
      </c>
      <c r="J150" s="7">
        <v>1</v>
      </c>
      <c r="K150" s="11">
        <f>Table213[[#This Row],[Fraud]]/Table213[[#This Row],[Grand Total]]</f>
        <v>1</v>
      </c>
    </row>
    <row r="151" spans="7:11" ht="15" customHeight="1" x14ac:dyDescent="0.25">
      <c r="G151" s="7">
        <v>462</v>
      </c>
      <c r="H151" s="7"/>
      <c r="I151" s="7">
        <v>1</v>
      </c>
      <c r="J151" s="7">
        <v>1</v>
      </c>
      <c r="K151" s="11">
        <f>Table213[[#This Row],[Fraud]]/Table213[[#This Row],[Grand Total]]</f>
        <v>1</v>
      </c>
    </row>
    <row r="152" spans="7:11" ht="15" customHeight="1" x14ac:dyDescent="0.25">
      <c r="G152" s="7">
        <v>464</v>
      </c>
      <c r="H152" s="7"/>
      <c r="I152" s="7">
        <v>1</v>
      </c>
      <c r="J152" s="7">
        <v>1</v>
      </c>
      <c r="K152" s="11">
        <f>Table213[[#This Row],[Fraud]]/Table213[[#This Row],[Grand Total]]</f>
        <v>1</v>
      </c>
    </row>
    <row r="153" spans="7:11" ht="15" customHeight="1" x14ac:dyDescent="0.25">
      <c r="G153" s="7">
        <v>467</v>
      </c>
      <c r="H153" s="7"/>
      <c r="I153" s="7">
        <v>1</v>
      </c>
      <c r="J153" s="7">
        <v>1</v>
      </c>
      <c r="K153" s="11">
        <f>Table213[[#This Row],[Fraud]]/Table213[[#This Row],[Grand Total]]</f>
        <v>1</v>
      </c>
    </row>
    <row r="154" spans="7:11" ht="15" customHeight="1" x14ac:dyDescent="0.25">
      <c r="G154" s="7">
        <v>469</v>
      </c>
      <c r="H154" s="7">
        <v>192</v>
      </c>
      <c r="I154" s="7">
        <v>1</v>
      </c>
      <c r="J154" s="7">
        <v>193</v>
      </c>
      <c r="K154" s="11">
        <f>Table213[[#This Row],[Fraud]]/Table213[[#This Row],[Grand Total]]</f>
        <v>5.1813471502590676E-3</v>
      </c>
    </row>
    <row r="155" spans="7:11" ht="15" customHeight="1" x14ac:dyDescent="0.25">
      <c r="G155" s="7">
        <v>470</v>
      </c>
      <c r="H155" s="7"/>
      <c r="I155" s="7">
        <v>1</v>
      </c>
      <c r="J155" s="7">
        <v>1</v>
      </c>
      <c r="K155" s="11">
        <f>Table213[[#This Row],[Fraud]]/Table213[[#This Row],[Grand Total]]</f>
        <v>1</v>
      </c>
    </row>
    <row r="156" spans="7:11" ht="15" customHeight="1" x14ac:dyDescent="0.25">
      <c r="G156" s="7">
        <v>473</v>
      </c>
      <c r="H156" s="7"/>
      <c r="I156" s="7">
        <v>1</v>
      </c>
      <c r="J156" s="7">
        <v>1</v>
      </c>
      <c r="K156" s="11">
        <f>Table213[[#This Row],[Fraud]]/Table213[[#This Row],[Grand Total]]</f>
        <v>1</v>
      </c>
    </row>
    <row r="157" spans="7:11" ht="15" customHeight="1" x14ac:dyDescent="0.25">
      <c r="G157" s="7">
        <v>475</v>
      </c>
      <c r="H157" s="7"/>
      <c r="I157" s="7">
        <v>1</v>
      </c>
      <c r="J157" s="7">
        <v>1</v>
      </c>
      <c r="K157" s="11">
        <f>Table213[[#This Row],[Fraud]]/Table213[[#This Row],[Grand Total]]</f>
        <v>1</v>
      </c>
    </row>
    <row r="158" spans="7:11" ht="15" customHeight="1" x14ac:dyDescent="0.25">
      <c r="G158" s="7">
        <v>482</v>
      </c>
      <c r="H158" s="7"/>
      <c r="I158" s="7">
        <v>1</v>
      </c>
      <c r="J158" s="7">
        <v>1</v>
      </c>
      <c r="K158" s="11">
        <f>Table213[[#This Row],[Fraud]]/Table213[[#This Row],[Grand Total]]</f>
        <v>1</v>
      </c>
    </row>
    <row r="159" spans="7:11" ht="15" customHeight="1" x14ac:dyDescent="0.25">
      <c r="G159" s="7">
        <v>484</v>
      </c>
      <c r="H159" s="7"/>
      <c r="I159" s="7">
        <v>1</v>
      </c>
      <c r="J159" s="7">
        <v>1</v>
      </c>
      <c r="K159" s="11">
        <f>Table213[[#This Row],[Fraud]]/Table213[[#This Row],[Grand Total]]</f>
        <v>1</v>
      </c>
    </row>
    <row r="160" spans="7:11" ht="15" customHeight="1" x14ac:dyDescent="0.25">
      <c r="G160" s="7">
        <v>488</v>
      </c>
      <c r="H160" s="7"/>
      <c r="I160" s="7">
        <v>1</v>
      </c>
      <c r="J160" s="7">
        <v>1</v>
      </c>
      <c r="K160" s="11">
        <f>Table213[[#This Row],[Fraud]]/Table213[[#This Row],[Grand Total]]</f>
        <v>1</v>
      </c>
    </row>
    <row r="161" spans="7:11" ht="15" customHeight="1" x14ac:dyDescent="0.25">
      <c r="G161" s="7">
        <v>489</v>
      </c>
      <c r="H161" s="7"/>
      <c r="I161" s="7">
        <v>1</v>
      </c>
      <c r="J161" s="7">
        <v>1</v>
      </c>
      <c r="K161" s="11">
        <f>Table213[[#This Row],[Fraud]]/Table213[[#This Row],[Grand Total]]</f>
        <v>1</v>
      </c>
    </row>
    <row r="162" spans="7:11" ht="15" customHeight="1" x14ac:dyDescent="0.25">
      <c r="G162" s="7">
        <v>491</v>
      </c>
      <c r="H162" s="7"/>
      <c r="I162" s="7">
        <v>1</v>
      </c>
      <c r="J162" s="7">
        <v>1</v>
      </c>
      <c r="K162" s="11">
        <f>Table213[[#This Row],[Fraud]]/Table213[[#This Row],[Grand Total]]</f>
        <v>1</v>
      </c>
    </row>
    <row r="163" spans="7:11" ht="15" customHeight="1" x14ac:dyDescent="0.25">
      <c r="G163" s="7">
        <v>494</v>
      </c>
      <c r="H163" s="7"/>
      <c r="I163" s="7">
        <v>1</v>
      </c>
      <c r="J163" s="7">
        <v>1</v>
      </c>
      <c r="K163" s="11">
        <f>Table213[[#This Row],[Fraud]]/Table213[[#This Row],[Grand Total]]</f>
        <v>1</v>
      </c>
    </row>
    <row r="164" spans="7:11" ht="15" customHeight="1" x14ac:dyDescent="0.25">
      <c r="G164" s="7">
        <v>503</v>
      </c>
      <c r="H164" s="7">
        <v>45</v>
      </c>
      <c r="I164" s="7">
        <v>1</v>
      </c>
      <c r="J164" s="7">
        <v>46</v>
      </c>
      <c r="K164" s="11">
        <f>Table213[[#This Row],[Fraud]]/Table213[[#This Row],[Grand Total]]</f>
        <v>2.1739130434782608E-2</v>
      </c>
    </row>
    <row r="165" spans="7:11" ht="15" customHeight="1" x14ac:dyDescent="0.25">
      <c r="G165" s="7">
        <v>508</v>
      </c>
      <c r="H165" s="7"/>
      <c r="I165" s="7">
        <v>1</v>
      </c>
      <c r="J165" s="7">
        <v>1</v>
      </c>
      <c r="K165" s="11">
        <f>Table213[[#This Row],[Fraud]]/Table213[[#This Row],[Grand Total]]</f>
        <v>1</v>
      </c>
    </row>
    <row r="166" spans="7:11" ht="15" customHeight="1" x14ac:dyDescent="0.25">
      <c r="G166" s="7">
        <v>509</v>
      </c>
      <c r="H166" s="7">
        <v>10</v>
      </c>
      <c r="I166" s="7">
        <v>1</v>
      </c>
      <c r="J166" s="7">
        <v>11</v>
      </c>
      <c r="K166" s="11">
        <f>Table213[[#This Row],[Fraud]]/Table213[[#This Row],[Grand Total]]</f>
        <v>9.0909090909090912E-2</v>
      </c>
    </row>
    <row r="167" spans="7:11" ht="15" customHeight="1" x14ac:dyDescent="0.25">
      <c r="G167" s="7">
        <v>519</v>
      </c>
      <c r="H167" s="7"/>
      <c r="I167" s="7">
        <v>1</v>
      </c>
      <c r="J167" s="7">
        <v>1</v>
      </c>
      <c r="K167" s="11">
        <f>Table213[[#This Row],[Fraud]]/Table213[[#This Row],[Grand Total]]</f>
        <v>1</v>
      </c>
    </row>
    <row r="168" spans="7:11" ht="15" customHeight="1" x14ac:dyDescent="0.25">
      <c r="G168" s="7">
        <v>520</v>
      </c>
      <c r="H168" s="7">
        <v>107</v>
      </c>
      <c r="I168" s="7">
        <v>1</v>
      </c>
      <c r="J168" s="7">
        <v>108</v>
      </c>
      <c r="K168" s="11">
        <f>Table213[[#This Row],[Fraud]]/Table213[[#This Row],[Grand Total]]</f>
        <v>9.2592592592592587E-3</v>
      </c>
    </row>
    <row r="169" spans="7:11" ht="15" customHeight="1" x14ac:dyDescent="0.25">
      <c r="G169" s="7">
        <v>522</v>
      </c>
      <c r="H169" s="7">
        <v>583</v>
      </c>
      <c r="I169" s="7">
        <v>1</v>
      </c>
      <c r="J169" s="7">
        <v>584</v>
      </c>
      <c r="K169" s="11">
        <f>Table213[[#This Row],[Fraud]]/Table213[[#This Row],[Grand Total]]</f>
        <v>1.7123287671232876E-3</v>
      </c>
    </row>
    <row r="170" spans="7:11" ht="15" customHeight="1" x14ac:dyDescent="0.25">
      <c r="G170" s="7">
        <v>523</v>
      </c>
      <c r="H170" s="7"/>
      <c r="I170" s="7">
        <v>1</v>
      </c>
      <c r="J170" s="7">
        <v>1</v>
      </c>
      <c r="K170" s="11">
        <f>Table213[[#This Row],[Fraud]]/Table213[[#This Row],[Grand Total]]</f>
        <v>1</v>
      </c>
    </row>
    <row r="171" spans="7:11" ht="15" customHeight="1" x14ac:dyDescent="0.25">
      <c r="G171" s="7">
        <v>525</v>
      </c>
      <c r="H171" s="7">
        <v>254</v>
      </c>
      <c r="I171" s="7">
        <v>1</v>
      </c>
      <c r="J171" s="7">
        <v>255</v>
      </c>
      <c r="K171" s="11">
        <f>Table213[[#This Row],[Fraud]]/Table213[[#This Row],[Grand Total]]</f>
        <v>3.9215686274509803E-3</v>
      </c>
    </row>
    <row r="172" spans="7:11" ht="15" customHeight="1" x14ac:dyDescent="0.25">
      <c r="G172" s="7">
        <v>527</v>
      </c>
      <c r="H172" s="7">
        <v>80</v>
      </c>
      <c r="I172" s="7">
        <v>1</v>
      </c>
      <c r="J172" s="7">
        <v>81</v>
      </c>
      <c r="K172" s="11">
        <f>Table213[[#This Row],[Fraud]]/Table213[[#This Row],[Grand Total]]</f>
        <v>1.2345679012345678E-2</v>
      </c>
    </row>
    <row r="173" spans="7:11" ht="15" customHeight="1" x14ac:dyDescent="0.25">
      <c r="G173" s="7">
        <v>530</v>
      </c>
      <c r="H173" s="7">
        <v>16</v>
      </c>
      <c r="I173" s="7">
        <v>1</v>
      </c>
      <c r="J173" s="7">
        <v>17</v>
      </c>
      <c r="K173" s="11">
        <f>Table213[[#This Row],[Fraud]]/Table213[[#This Row],[Grand Total]]</f>
        <v>5.8823529411764705E-2</v>
      </c>
    </row>
    <row r="174" spans="7:11" ht="15" customHeight="1" x14ac:dyDescent="0.25">
      <c r="G174" s="7">
        <v>538</v>
      </c>
      <c r="H174" s="7">
        <v>85</v>
      </c>
      <c r="I174" s="7">
        <v>1</v>
      </c>
      <c r="J174" s="7">
        <v>86</v>
      </c>
      <c r="K174" s="11">
        <f>Table213[[#This Row],[Fraud]]/Table213[[#This Row],[Grand Total]]</f>
        <v>1.1627906976744186E-2</v>
      </c>
    </row>
    <row r="175" spans="7:11" ht="15" customHeight="1" x14ac:dyDescent="0.25">
      <c r="G175" s="7">
        <v>544</v>
      </c>
      <c r="H175" s="7">
        <v>304</v>
      </c>
      <c r="I175" s="7">
        <v>1</v>
      </c>
      <c r="J175" s="7">
        <v>305</v>
      </c>
      <c r="K175" s="11">
        <f>Table213[[#This Row],[Fraud]]/Table213[[#This Row],[Grand Total]]</f>
        <v>3.2786885245901639E-3</v>
      </c>
    </row>
    <row r="176" spans="7:11" ht="15" customHeight="1" x14ac:dyDescent="0.25">
      <c r="G176" s="7">
        <v>550</v>
      </c>
      <c r="H176" s="7">
        <v>137</v>
      </c>
      <c r="I176" s="7">
        <v>1</v>
      </c>
      <c r="J176" s="7">
        <v>138</v>
      </c>
      <c r="K176" s="11">
        <f>Table213[[#This Row],[Fraud]]/Table213[[#This Row],[Grand Total]]</f>
        <v>7.246376811594203E-3</v>
      </c>
    </row>
    <row r="177" spans="7:11" ht="15" customHeight="1" x14ac:dyDescent="0.25">
      <c r="G177" s="7">
        <v>551</v>
      </c>
      <c r="H177" s="7">
        <v>24</v>
      </c>
      <c r="I177" s="7">
        <v>1</v>
      </c>
      <c r="J177" s="7">
        <v>25</v>
      </c>
      <c r="K177" s="11">
        <f>Table213[[#This Row],[Fraud]]/Table213[[#This Row],[Grand Total]]</f>
        <v>0.04</v>
      </c>
    </row>
    <row r="178" spans="7:11" ht="15" customHeight="1" x14ac:dyDescent="0.25">
      <c r="G178" s="7">
        <v>563</v>
      </c>
      <c r="H178" s="7">
        <v>97</v>
      </c>
      <c r="I178" s="7">
        <v>1</v>
      </c>
      <c r="J178" s="7">
        <v>98</v>
      </c>
      <c r="K178" s="11">
        <f>Table213[[#This Row],[Fraud]]/Table213[[#This Row],[Grand Total]]</f>
        <v>1.020408163265306E-2</v>
      </c>
    </row>
    <row r="179" spans="7:11" ht="15" customHeight="1" x14ac:dyDescent="0.25">
      <c r="G179" s="7">
        <v>564</v>
      </c>
      <c r="H179" s="7">
        <v>102</v>
      </c>
      <c r="I179" s="7">
        <v>1</v>
      </c>
      <c r="J179" s="7">
        <v>103</v>
      </c>
      <c r="K179" s="11">
        <f>Table213[[#This Row],[Fraud]]/Table213[[#This Row],[Grand Total]]</f>
        <v>9.7087378640776691E-3</v>
      </c>
    </row>
    <row r="180" spans="7:11" ht="15" customHeight="1" x14ac:dyDescent="0.25">
      <c r="G180" s="7">
        <v>576</v>
      </c>
      <c r="H180" s="7">
        <v>29</v>
      </c>
      <c r="I180" s="7">
        <v>1</v>
      </c>
      <c r="J180" s="7">
        <v>30</v>
      </c>
      <c r="K180" s="11">
        <f>Table213[[#This Row],[Fraud]]/Table213[[#This Row],[Grand Total]]</f>
        <v>3.3333333333333333E-2</v>
      </c>
    </row>
    <row r="181" spans="7:11" ht="15" customHeight="1" x14ac:dyDescent="0.25">
      <c r="G181" s="7">
        <v>577</v>
      </c>
      <c r="H181" s="7">
        <v>14</v>
      </c>
      <c r="I181" s="7">
        <v>1</v>
      </c>
      <c r="J181" s="7">
        <v>15</v>
      </c>
      <c r="K181" s="11">
        <f>Table213[[#This Row],[Fraud]]/Table213[[#This Row],[Grand Total]]</f>
        <v>6.6666666666666666E-2</v>
      </c>
    </row>
    <row r="182" spans="7:11" ht="15" customHeight="1" x14ac:dyDescent="0.25">
      <c r="G182" s="7">
        <v>587</v>
      </c>
      <c r="H182" s="7">
        <v>95</v>
      </c>
      <c r="I182" s="7">
        <v>1</v>
      </c>
      <c r="J182" s="7">
        <v>96</v>
      </c>
      <c r="K182" s="11">
        <f>Table213[[#This Row],[Fraud]]/Table213[[#This Row],[Grand Total]]</f>
        <v>1.0416666666666666E-2</v>
      </c>
    </row>
    <row r="183" spans="7:11" ht="15" customHeight="1" x14ac:dyDescent="0.25">
      <c r="G183" s="7">
        <v>588</v>
      </c>
      <c r="H183" s="7">
        <v>156</v>
      </c>
      <c r="I183" s="7">
        <v>1</v>
      </c>
      <c r="J183" s="7">
        <v>157</v>
      </c>
      <c r="K183" s="11">
        <f>Table213[[#This Row],[Fraud]]/Table213[[#This Row],[Grand Total]]</f>
        <v>6.369426751592357E-3</v>
      </c>
    </row>
    <row r="184" spans="7:11" ht="15" customHeight="1" x14ac:dyDescent="0.25">
      <c r="G184" s="7">
        <v>595</v>
      </c>
      <c r="H184" s="7">
        <v>159</v>
      </c>
      <c r="I184" s="7">
        <v>1</v>
      </c>
      <c r="J184" s="7">
        <v>160</v>
      </c>
      <c r="K184" s="11">
        <f>Table213[[#This Row],[Fraud]]/Table213[[#This Row],[Grand Total]]</f>
        <v>6.2500000000000003E-3</v>
      </c>
    </row>
    <row r="185" spans="7:11" ht="15" customHeight="1" x14ac:dyDescent="0.25">
      <c r="G185" s="7">
        <v>596</v>
      </c>
      <c r="H185" s="7">
        <v>294</v>
      </c>
      <c r="I185" s="7">
        <v>1</v>
      </c>
      <c r="J185" s="7">
        <v>295</v>
      </c>
      <c r="K185" s="11">
        <f>Table213[[#This Row],[Fraud]]/Table213[[#This Row],[Grand Total]]</f>
        <v>3.3898305084745762E-3</v>
      </c>
    </row>
    <row r="186" spans="7:11" ht="15" customHeight="1" x14ac:dyDescent="0.25">
      <c r="G186" s="7">
        <v>598</v>
      </c>
      <c r="H186" s="7">
        <v>24</v>
      </c>
      <c r="I186" s="7">
        <v>1</v>
      </c>
      <c r="J186" s="7">
        <v>25</v>
      </c>
      <c r="K186" s="11">
        <f>Table213[[#This Row],[Fraud]]/Table213[[#This Row],[Grand Total]]</f>
        <v>0.04</v>
      </c>
    </row>
    <row r="187" spans="7:11" ht="15" customHeight="1" x14ac:dyDescent="0.25">
      <c r="G187" s="7">
        <v>600</v>
      </c>
      <c r="H187" s="7"/>
      <c r="I187" s="7">
        <v>1</v>
      </c>
      <c r="J187" s="7">
        <v>1</v>
      </c>
      <c r="K187" s="11">
        <f>Table213[[#This Row],[Fraud]]/Table213[[#This Row],[Grand Total]]</f>
        <v>1</v>
      </c>
    </row>
    <row r="188" spans="7:11" ht="15" customHeight="1" x14ac:dyDescent="0.25">
      <c r="G188" s="7">
        <v>601</v>
      </c>
      <c r="H188" s="7">
        <v>26</v>
      </c>
      <c r="I188" s="7">
        <v>1</v>
      </c>
      <c r="J188" s="7">
        <v>27</v>
      </c>
      <c r="K188" s="11">
        <f>Table213[[#This Row],[Fraud]]/Table213[[#This Row],[Grand Total]]</f>
        <v>3.7037037037037035E-2</v>
      </c>
    </row>
    <row r="189" spans="7:11" ht="15" customHeight="1" x14ac:dyDescent="0.25">
      <c r="G189" s="7">
        <v>603</v>
      </c>
      <c r="H189" s="7"/>
      <c r="I189" s="7">
        <v>1</v>
      </c>
      <c r="J189" s="7">
        <v>1</v>
      </c>
      <c r="K189" s="11">
        <f>Table213[[#This Row],[Fraud]]/Table213[[#This Row],[Grand Total]]</f>
        <v>1</v>
      </c>
    </row>
    <row r="190" spans="7:11" ht="15" customHeight="1" x14ac:dyDescent="0.25">
      <c r="G190" s="7">
        <v>605</v>
      </c>
      <c r="H190" s="7"/>
      <c r="I190" s="7">
        <v>1</v>
      </c>
      <c r="J190" s="7">
        <v>1</v>
      </c>
      <c r="K190" s="11">
        <f>Table213[[#This Row],[Fraud]]/Table213[[#This Row],[Grand Total]]</f>
        <v>1</v>
      </c>
    </row>
    <row r="191" spans="7:11" ht="15" customHeight="1" x14ac:dyDescent="0.25">
      <c r="G191" s="7">
        <v>609</v>
      </c>
      <c r="H191" s="7"/>
      <c r="I191" s="7">
        <v>1</v>
      </c>
      <c r="J191" s="7">
        <v>1</v>
      </c>
      <c r="K191" s="11">
        <f>Table213[[#This Row],[Fraud]]/Table213[[#This Row],[Grand Total]]</f>
        <v>1</v>
      </c>
    </row>
    <row r="192" spans="7:11" ht="15" customHeight="1" x14ac:dyDescent="0.25">
      <c r="G192" s="7">
        <v>611</v>
      </c>
      <c r="H192" s="7"/>
      <c r="I192" s="7">
        <v>1</v>
      </c>
      <c r="J192" s="7">
        <v>1</v>
      </c>
      <c r="K192" s="11">
        <f>Table213[[#This Row],[Fraud]]/Table213[[#This Row],[Grand Total]]</f>
        <v>1</v>
      </c>
    </row>
    <row r="193" spans="7:11" ht="15" customHeight="1" x14ac:dyDescent="0.25">
      <c r="G193" s="7">
        <v>612</v>
      </c>
      <c r="H193" s="7">
        <v>95</v>
      </c>
      <c r="I193" s="7">
        <v>1</v>
      </c>
      <c r="J193" s="7">
        <v>96</v>
      </c>
      <c r="K193" s="11">
        <f>Table213[[#This Row],[Fraud]]/Table213[[#This Row],[Grand Total]]</f>
        <v>1.0416666666666666E-2</v>
      </c>
    </row>
    <row r="194" spans="7:11" ht="15" customHeight="1" x14ac:dyDescent="0.25">
      <c r="G194" s="7">
        <v>613</v>
      </c>
      <c r="H194" s="7">
        <v>1</v>
      </c>
      <c r="I194" s="7">
        <v>1</v>
      </c>
      <c r="J194" s="7">
        <v>2</v>
      </c>
      <c r="K194" s="11">
        <f>Table213[[#This Row],[Fraud]]/Table213[[#This Row],[Grand Total]]</f>
        <v>0.5</v>
      </c>
    </row>
    <row r="195" spans="7:11" ht="15" customHeight="1" x14ac:dyDescent="0.25">
      <c r="G195" s="7">
        <v>614</v>
      </c>
      <c r="H195" s="7">
        <v>42</v>
      </c>
      <c r="I195" s="7">
        <v>1</v>
      </c>
      <c r="J195" s="7">
        <v>43</v>
      </c>
      <c r="K195" s="11">
        <f>Table213[[#This Row],[Fraud]]/Table213[[#This Row],[Grand Total]]</f>
        <v>2.3255813953488372E-2</v>
      </c>
    </row>
    <row r="196" spans="7:11" ht="15" customHeight="1" x14ac:dyDescent="0.25">
      <c r="G196" s="7">
        <v>619</v>
      </c>
      <c r="H196" s="7">
        <v>82</v>
      </c>
      <c r="I196" s="7">
        <v>1</v>
      </c>
      <c r="J196" s="7">
        <v>83</v>
      </c>
      <c r="K196" s="11">
        <f>Table213[[#This Row],[Fraud]]/Table213[[#This Row],[Grand Total]]</f>
        <v>1.2048192771084338E-2</v>
      </c>
    </row>
    <row r="197" spans="7:11" ht="15" customHeight="1" x14ac:dyDescent="0.25">
      <c r="G197" s="7">
        <v>621</v>
      </c>
      <c r="H197" s="7">
        <v>31</v>
      </c>
      <c r="I197" s="7">
        <v>1</v>
      </c>
      <c r="J197" s="7">
        <v>32</v>
      </c>
      <c r="K197" s="11">
        <f>Table213[[#This Row],[Fraud]]/Table213[[#This Row],[Grand Total]]</f>
        <v>3.125E-2</v>
      </c>
    </row>
    <row r="198" spans="7:11" ht="15" customHeight="1" x14ac:dyDescent="0.25">
      <c r="G198" s="7">
        <v>624</v>
      </c>
      <c r="H198" s="7"/>
      <c r="I198" s="7">
        <v>1</v>
      </c>
      <c r="J198" s="7">
        <v>1</v>
      </c>
      <c r="K198" s="11">
        <f>Table213[[#This Row],[Fraud]]/Table213[[#This Row],[Grand Total]]</f>
        <v>1</v>
      </c>
    </row>
    <row r="199" spans="7:11" ht="15" customHeight="1" x14ac:dyDescent="0.25">
      <c r="G199" s="7">
        <v>625</v>
      </c>
      <c r="H199" s="7"/>
      <c r="I199" s="7">
        <v>1</v>
      </c>
      <c r="J199" s="7">
        <v>1</v>
      </c>
      <c r="K199" s="11">
        <f>Table213[[#This Row],[Fraud]]/Table213[[#This Row],[Grand Total]]</f>
        <v>1</v>
      </c>
    </row>
    <row r="200" spans="7:11" ht="15" customHeight="1" x14ac:dyDescent="0.25">
      <c r="G200" s="7">
        <v>626</v>
      </c>
      <c r="H200" s="7"/>
      <c r="I200" s="7">
        <v>1</v>
      </c>
      <c r="J200" s="7">
        <v>1</v>
      </c>
      <c r="K200" s="11">
        <f>Table213[[#This Row],[Fraud]]/Table213[[#This Row],[Grand Total]]</f>
        <v>1</v>
      </c>
    </row>
    <row r="201" spans="7:11" ht="15" customHeight="1" x14ac:dyDescent="0.25">
      <c r="G201" s="7">
        <v>631</v>
      </c>
      <c r="H201" s="7"/>
      <c r="I201" s="7">
        <v>1</v>
      </c>
      <c r="J201" s="7">
        <v>1</v>
      </c>
      <c r="K201" s="11">
        <f>Table213[[#This Row],[Fraud]]/Table213[[#This Row],[Grand Total]]</f>
        <v>1</v>
      </c>
    </row>
    <row r="202" spans="7:11" ht="15" customHeight="1" x14ac:dyDescent="0.25">
      <c r="G202" s="7">
        <v>633</v>
      </c>
      <c r="H202" s="7"/>
      <c r="I202" s="7">
        <v>1</v>
      </c>
      <c r="J202" s="7">
        <v>1</v>
      </c>
      <c r="K202" s="11">
        <f>Table213[[#This Row],[Fraud]]/Table213[[#This Row],[Grand Total]]</f>
        <v>1</v>
      </c>
    </row>
    <row r="203" spans="7:11" ht="15" customHeight="1" x14ac:dyDescent="0.25">
      <c r="G203" s="7">
        <v>636</v>
      </c>
      <c r="H203" s="7"/>
      <c r="I203" s="7">
        <v>1</v>
      </c>
      <c r="J203" s="7">
        <v>1</v>
      </c>
      <c r="K203" s="11">
        <f>Table213[[#This Row],[Fraud]]/Table213[[#This Row],[Grand Total]]</f>
        <v>1</v>
      </c>
    </row>
    <row r="204" spans="7:11" ht="15" customHeight="1" x14ac:dyDescent="0.25">
      <c r="G204" s="7">
        <v>637</v>
      </c>
      <c r="H204" s="7">
        <v>116</v>
      </c>
      <c r="I204" s="7">
        <v>1</v>
      </c>
      <c r="J204" s="7">
        <v>117</v>
      </c>
      <c r="K204" s="11">
        <f>Table213[[#This Row],[Fraud]]/Table213[[#This Row],[Grand Total]]</f>
        <v>8.5470085470085479E-3</v>
      </c>
    </row>
    <row r="205" spans="7:11" ht="15" customHeight="1" x14ac:dyDescent="0.25">
      <c r="G205" s="7">
        <v>639</v>
      </c>
      <c r="H205" s="7"/>
      <c r="I205" s="7">
        <v>1</v>
      </c>
      <c r="J205" s="7">
        <v>1</v>
      </c>
      <c r="K205" s="11">
        <f>Table213[[#This Row],[Fraud]]/Table213[[#This Row],[Grand Total]]</f>
        <v>1</v>
      </c>
    </row>
    <row r="206" spans="7:11" ht="15" customHeight="1" x14ac:dyDescent="0.25">
      <c r="G206" s="7">
        <v>640</v>
      </c>
      <c r="H206" s="7">
        <v>40</v>
      </c>
      <c r="I206" s="7">
        <v>1</v>
      </c>
      <c r="J206" s="7">
        <v>41</v>
      </c>
      <c r="K206" s="11">
        <f>Table213[[#This Row],[Fraud]]/Table213[[#This Row],[Grand Total]]</f>
        <v>2.4390243902439025E-2</v>
      </c>
    </row>
    <row r="207" spans="7:11" ht="15" customHeight="1" x14ac:dyDescent="0.25">
      <c r="G207" s="7">
        <v>641</v>
      </c>
      <c r="H207" s="7"/>
      <c r="I207" s="7">
        <v>1</v>
      </c>
      <c r="J207" s="7">
        <v>1</v>
      </c>
      <c r="K207" s="11">
        <f>Table213[[#This Row],[Fraud]]/Table213[[#This Row],[Grand Total]]</f>
        <v>1</v>
      </c>
    </row>
    <row r="208" spans="7:11" ht="15" customHeight="1" x14ac:dyDescent="0.25">
      <c r="G208" s="7">
        <v>643</v>
      </c>
      <c r="H208" s="7"/>
      <c r="I208" s="7">
        <v>1</v>
      </c>
      <c r="J208" s="7">
        <v>1</v>
      </c>
      <c r="K208" s="11">
        <f>Table213[[#This Row],[Fraud]]/Table213[[#This Row],[Grand Total]]</f>
        <v>1</v>
      </c>
    </row>
    <row r="209" spans="7:11" ht="15" customHeight="1" x14ac:dyDescent="0.25">
      <c r="G209" s="7">
        <v>644</v>
      </c>
      <c r="H209" s="7">
        <v>71</v>
      </c>
      <c r="I209" s="7">
        <v>1</v>
      </c>
      <c r="J209" s="7">
        <v>72</v>
      </c>
      <c r="K209" s="11">
        <f>Table213[[#This Row],[Fraud]]/Table213[[#This Row],[Grand Total]]</f>
        <v>1.3888888888888888E-2</v>
      </c>
    </row>
    <row r="210" spans="7:11" ht="15" customHeight="1" x14ac:dyDescent="0.25">
      <c r="G210" s="7">
        <v>648</v>
      </c>
      <c r="H210" s="7"/>
      <c r="I210" s="7">
        <v>1</v>
      </c>
      <c r="J210" s="7">
        <v>1</v>
      </c>
      <c r="K210" s="11">
        <f>Table213[[#This Row],[Fraud]]/Table213[[#This Row],[Grand Total]]</f>
        <v>1</v>
      </c>
    </row>
    <row r="211" spans="7:11" ht="15" customHeight="1" x14ac:dyDescent="0.25">
      <c r="G211" s="7">
        <v>651</v>
      </c>
      <c r="H211" s="7"/>
      <c r="I211" s="7">
        <v>1</v>
      </c>
      <c r="J211" s="7">
        <v>1</v>
      </c>
      <c r="K211" s="11">
        <f>Table213[[#This Row],[Fraud]]/Table213[[#This Row],[Grand Total]]</f>
        <v>1</v>
      </c>
    </row>
    <row r="212" spans="7:11" ht="15" customHeight="1" x14ac:dyDescent="0.25">
      <c r="G212" s="7">
        <v>655</v>
      </c>
      <c r="H212" s="7"/>
      <c r="I212" s="7">
        <v>1</v>
      </c>
      <c r="J212" s="7">
        <v>1</v>
      </c>
      <c r="K212" s="11">
        <f>Table213[[#This Row],[Fraud]]/Table213[[#This Row],[Grand Total]]</f>
        <v>1</v>
      </c>
    </row>
    <row r="213" spans="7:11" ht="15" customHeight="1" x14ac:dyDescent="0.25">
      <c r="G213" s="7">
        <v>658</v>
      </c>
      <c r="H213" s="7"/>
      <c r="I213" s="7">
        <v>1</v>
      </c>
      <c r="J213" s="7">
        <v>1</v>
      </c>
      <c r="K213" s="11">
        <f>Table213[[#This Row],[Fraud]]/Table213[[#This Row],[Grand Total]]</f>
        <v>1</v>
      </c>
    </row>
    <row r="214" spans="7:11" ht="15" customHeight="1" x14ac:dyDescent="0.25">
      <c r="G214" s="7">
        <v>659</v>
      </c>
      <c r="H214" s="7">
        <v>73</v>
      </c>
      <c r="I214" s="7">
        <v>1</v>
      </c>
      <c r="J214" s="7">
        <v>74</v>
      </c>
      <c r="K214" s="11">
        <f>Table213[[#This Row],[Fraud]]/Table213[[#This Row],[Grand Total]]</f>
        <v>1.3513513513513514E-2</v>
      </c>
    </row>
    <row r="215" spans="7:11" ht="15" customHeight="1" x14ac:dyDescent="0.25">
      <c r="G215" s="7">
        <v>664</v>
      </c>
      <c r="H215" s="7">
        <v>32</v>
      </c>
      <c r="I215" s="7">
        <v>1</v>
      </c>
      <c r="J215" s="7">
        <v>33</v>
      </c>
      <c r="K215" s="11">
        <f>Table213[[#This Row],[Fraud]]/Table213[[#This Row],[Grand Total]]</f>
        <v>3.0303030303030304E-2</v>
      </c>
    </row>
    <row r="216" spans="7:11" ht="15" customHeight="1" x14ac:dyDescent="0.25">
      <c r="G216" s="7">
        <v>671</v>
      </c>
      <c r="H216" s="7"/>
      <c r="I216" s="7">
        <v>1</v>
      </c>
      <c r="J216" s="7">
        <v>1</v>
      </c>
      <c r="K216" s="11">
        <f>Table213[[#This Row],[Fraud]]/Table213[[#This Row],[Grand Total]]</f>
        <v>1</v>
      </c>
    </row>
    <row r="217" spans="7:11" ht="15" customHeight="1" x14ac:dyDescent="0.25">
      <c r="G217" s="7">
        <v>672</v>
      </c>
      <c r="H217" s="7">
        <v>3</v>
      </c>
      <c r="I217" s="7">
        <v>1</v>
      </c>
      <c r="J217" s="7">
        <v>4</v>
      </c>
      <c r="K217" s="11">
        <f>Table213[[#This Row],[Fraud]]/Table213[[#This Row],[Grand Total]]</f>
        <v>0.25</v>
      </c>
    </row>
    <row r="218" spans="7:11" ht="15" customHeight="1" x14ac:dyDescent="0.25">
      <c r="G218" s="7">
        <v>674</v>
      </c>
      <c r="H218" s="7"/>
      <c r="I218" s="7">
        <v>1</v>
      </c>
      <c r="J218" s="7">
        <v>1</v>
      </c>
      <c r="K218" s="11">
        <f>Table213[[#This Row],[Fraud]]/Table213[[#This Row],[Grand Total]]</f>
        <v>1</v>
      </c>
    </row>
    <row r="219" spans="7:11" ht="15" customHeight="1" x14ac:dyDescent="0.25">
      <c r="G219" s="7">
        <v>675</v>
      </c>
      <c r="H219" s="7">
        <v>1</v>
      </c>
      <c r="I219" s="7">
        <v>1</v>
      </c>
      <c r="J219" s="7">
        <v>2</v>
      </c>
      <c r="K219" s="11">
        <f>Table213[[#This Row],[Fraud]]/Table213[[#This Row],[Grand Total]]</f>
        <v>0.5</v>
      </c>
    </row>
    <row r="220" spans="7:11" ht="15" customHeight="1" x14ac:dyDescent="0.25">
      <c r="G220" s="7">
        <v>679</v>
      </c>
      <c r="H220" s="7">
        <v>3</v>
      </c>
      <c r="I220" s="7">
        <v>1</v>
      </c>
      <c r="J220" s="7">
        <v>4</v>
      </c>
      <c r="K220" s="11">
        <f>Table213[[#This Row],[Fraud]]/Table213[[#This Row],[Grand Total]]</f>
        <v>0.25</v>
      </c>
    </row>
    <row r="221" spans="7:11" ht="15" customHeight="1" x14ac:dyDescent="0.25">
      <c r="G221" s="7">
        <v>683</v>
      </c>
      <c r="H221" s="7">
        <v>64</v>
      </c>
      <c r="I221" s="7">
        <v>1</v>
      </c>
      <c r="J221" s="7">
        <v>65</v>
      </c>
      <c r="K221" s="11">
        <f>Table213[[#This Row],[Fraud]]/Table213[[#This Row],[Grand Total]]</f>
        <v>1.5384615384615385E-2</v>
      </c>
    </row>
    <row r="222" spans="7:11" ht="15" customHeight="1" x14ac:dyDescent="0.25">
      <c r="G222" s="7">
        <v>684</v>
      </c>
      <c r="H222" s="7">
        <v>158</v>
      </c>
      <c r="I222" s="7">
        <v>1</v>
      </c>
      <c r="J222" s="7">
        <v>159</v>
      </c>
      <c r="K222" s="11">
        <f>Table213[[#This Row],[Fraud]]/Table213[[#This Row],[Grand Total]]</f>
        <v>6.2893081761006293E-3</v>
      </c>
    </row>
    <row r="223" spans="7:11" ht="15" customHeight="1" x14ac:dyDescent="0.25">
      <c r="G223" s="7">
        <v>685</v>
      </c>
      <c r="H223" s="7"/>
      <c r="I223" s="7">
        <v>1</v>
      </c>
      <c r="J223" s="7">
        <v>1</v>
      </c>
      <c r="K223" s="11">
        <f>Table213[[#This Row],[Fraud]]/Table213[[#This Row],[Grand Total]]</f>
        <v>1</v>
      </c>
    </row>
    <row r="224" spans="7:11" ht="15" customHeight="1" x14ac:dyDescent="0.25">
      <c r="G224" s="7">
        <v>689</v>
      </c>
      <c r="H224" s="7"/>
      <c r="I224" s="7">
        <v>1</v>
      </c>
      <c r="J224" s="7">
        <v>1</v>
      </c>
      <c r="K224" s="11">
        <f>Table213[[#This Row],[Fraud]]/Table213[[#This Row],[Grand Total]]</f>
        <v>1</v>
      </c>
    </row>
    <row r="225" spans="7:11" ht="15" customHeight="1" x14ac:dyDescent="0.25">
      <c r="G225" s="7">
        <v>695</v>
      </c>
      <c r="H225" s="7">
        <v>97</v>
      </c>
      <c r="I225" s="7">
        <v>1</v>
      </c>
      <c r="J225" s="7">
        <v>98</v>
      </c>
      <c r="K225" s="11">
        <f>Table213[[#This Row],[Fraud]]/Table213[[#This Row],[Grand Total]]</f>
        <v>1.020408163265306E-2</v>
      </c>
    </row>
    <row r="226" spans="7:11" ht="15" customHeight="1" x14ac:dyDescent="0.25">
      <c r="G226" s="7">
        <v>699</v>
      </c>
      <c r="H226" s="7">
        <v>1</v>
      </c>
      <c r="I226" s="7">
        <v>1</v>
      </c>
      <c r="J226" s="7">
        <v>2</v>
      </c>
      <c r="K226" s="11">
        <f>Table213[[#This Row],[Fraud]]/Table213[[#This Row],[Grand Total]]</f>
        <v>0.5</v>
      </c>
    </row>
    <row r="227" spans="7:11" ht="15" customHeight="1" x14ac:dyDescent="0.25">
      <c r="G227" s="7">
        <v>700</v>
      </c>
      <c r="H227" s="7"/>
      <c r="I227" s="7">
        <v>1</v>
      </c>
      <c r="J227" s="7">
        <v>1</v>
      </c>
      <c r="K227" s="11">
        <f>Table213[[#This Row],[Fraud]]/Table213[[#This Row],[Grand Total]]</f>
        <v>1</v>
      </c>
    </row>
    <row r="228" spans="7:11" ht="15" customHeight="1" x14ac:dyDescent="0.25">
      <c r="G228" s="7">
        <v>702</v>
      </c>
      <c r="H228" s="7"/>
      <c r="I228" s="7">
        <v>1</v>
      </c>
      <c r="J228" s="7">
        <v>1</v>
      </c>
      <c r="K228" s="11">
        <f>Table213[[#This Row],[Fraud]]/Table213[[#This Row],[Grand Total]]</f>
        <v>1</v>
      </c>
    </row>
    <row r="229" spans="7:11" ht="15" customHeight="1" x14ac:dyDescent="0.25">
      <c r="G229" s="7">
        <v>707</v>
      </c>
      <c r="H229" s="7">
        <v>17</v>
      </c>
      <c r="I229" s="7">
        <v>1</v>
      </c>
      <c r="J229" s="7">
        <v>18</v>
      </c>
      <c r="K229" s="11">
        <f>Table213[[#This Row],[Fraud]]/Table213[[#This Row],[Grand Total]]</f>
        <v>5.5555555555555552E-2</v>
      </c>
    </row>
    <row r="230" spans="7:11" ht="15" customHeight="1" x14ac:dyDescent="0.25">
      <c r="G230" s="7">
        <v>713</v>
      </c>
      <c r="H230" s="7"/>
      <c r="I230" s="7">
        <v>1</v>
      </c>
      <c r="J230" s="7">
        <v>1</v>
      </c>
      <c r="K230" s="11">
        <f>Table213[[#This Row],[Fraud]]/Table213[[#This Row],[Grand Total]]</f>
        <v>1</v>
      </c>
    </row>
    <row r="231" spans="7:11" ht="15" customHeight="1" x14ac:dyDescent="0.25">
      <c r="G231" s="7">
        <v>717</v>
      </c>
      <c r="H231" s="7">
        <v>20</v>
      </c>
      <c r="I231" s="7">
        <v>1</v>
      </c>
      <c r="J231" s="7">
        <v>21</v>
      </c>
      <c r="K231" s="11">
        <f>Table213[[#This Row],[Fraud]]/Table213[[#This Row],[Grand Total]]</f>
        <v>4.7619047619047616E-2</v>
      </c>
    </row>
    <row r="232" spans="7:11" ht="15" customHeight="1" x14ac:dyDescent="0.25">
      <c r="G232" s="7">
        <v>721</v>
      </c>
      <c r="H232" s="7"/>
      <c r="I232" s="7">
        <v>1</v>
      </c>
      <c r="J232" s="7">
        <v>1</v>
      </c>
      <c r="K232" s="11">
        <f>Table213[[#This Row],[Fraud]]/Table213[[#This Row],[Grand Total]]</f>
        <v>1</v>
      </c>
    </row>
    <row r="233" spans="7:11" ht="15" customHeight="1" x14ac:dyDescent="0.25">
      <c r="G233" s="7">
        <v>722</v>
      </c>
      <c r="H233" s="7"/>
      <c r="I233" s="7">
        <v>1</v>
      </c>
      <c r="J233" s="7">
        <v>1</v>
      </c>
      <c r="K233" s="11">
        <f>Table213[[#This Row],[Fraud]]/Table213[[#This Row],[Grand Total]]</f>
        <v>1</v>
      </c>
    </row>
    <row r="234" spans="7:11" ht="15" customHeight="1" x14ac:dyDescent="0.25">
      <c r="G234" s="7">
        <v>736</v>
      </c>
      <c r="H234" s="7"/>
      <c r="I234" s="7">
        <v>1</v>
      </c>
      <c r="J234" s="7">
        <v>1</v>
      </c>
      <c r="K234" s="11">
        <f>Table213[[#This Row],[Fraud]]/Table213[[#This Row],[Grand Total]]</f>
        <v>1</v>
      </c>
    </row>
    <row r="235" spans="7:11" ht="15" customHeight="1" x14ac:dyDescent="0.25">
      <c r="G235" s="7">
        <v>2</v>
      </c>
      <c r="H235" s="7">
        <v>37</v>
      </c>
      <c r="I235" s="7"/>
      <c r="J235" s="7">
        <v>37</v>
      </c>
      <c r="K235" s="11">
        <f>Table213[[#This Row],[Fraud]]/Table213[[#This Row],[Grand Total]]</f>
        <v>0</v>
      </c>
    </row>
    <row r="236" spans="7:11" ht="15" customHeight="1" x14ac:dyDescent="0.25">
      <c r="G236" s="7">
        <v>4</v>
      </c>
      <c r="H236" s="7">
        <v>19</v>
      </c>
      <c r="I236" s="7"/>
      <c r="J236" s="7">
        <v>19</v>
      </c>
      <c r="K236" s="11">
        <f>Table213[[#This Row],[Fraud]]/Table213[[#This Row],[Grand Total]]</f>
        <v>0</v>
      </c>
    </row>
    <row r="237" spans="7:11" ht="15" customHeight="1" x14ac:dyDescent="0.25">
      <c r="G237" s="7">
        <v>6</v>
      </c>
      <c r="H237" s="7">
        <v>59</v>
      </c>
      <c r="I237" s="7"/>
      <c r="J237" s="7">
        <v>59</v>
      </c>
      <c r="K237" s="11">
        <f>Table213[[#This Row],[Fraud]]/Table213[[#This Row],[Grand Total]]</f>
        <v>0</v>
      </c>
    </row>
    <row r="238" spans="7:11" ht="15" customHeight="1" x14ac:dyDescent="0.25">
      <c r="G238" s="7">
        <v>7</v>
      </c>
      <c r="H238" s="7">
        <v>222</v>
      </c>
      <c r="I238" s="7"/>
      <c r="J238" s="7">
        <v>222</v>
      </c>
      <c r="K238" s="11">
        <f>Table213[[#This Row],[Fraud]]/Table213[[#This Row],[Grand Total]]</f>
        <v>0</v>
      </c>
    </row>
    <row r="239" spans="7:11" ht="15" customHeight="1" x14ac:dyDescent="0.25">
      <c r="G239" s="7">
        <v>8</v>
      </c>
      <c r="H239" s="7">
        <v>645</v>
      </c>
      <c r="I239" s="7"/>
      <c r="J239" s="7">
        <v>645</v>
      </c>
      <c r="K239" s="11">
        <f>Table213[[#This Row],[Fraud]]/Table213[[#This Row],[Grand Total]]</f>
        <v>0</v>
      </c>
    </row>
    <row r="240" spans="7:11" ht="15" customHeight="1" x14ac:dyDescent="0.25">
      <c r="G240" s="7">
        <v>10</v>
      </c>
      <c r="H240" s="7">
        <v>1164</v>
      </c>
      <c r="I240" s="7"/>
      <c r="J240" s="7">
        <v>1164</v>
      </c>
      <c r="K240" s="11">
        <f>Table213[[#This Row],[Fraud]]/Table213[[#This Row],[Grand Total]]</f>
        <v>0</v>
      </c>
    </row>
    <row r="241" spans="7:11" ht="15" customHeight="1" x14ac:dyDescent="0.25">
      <c r="G241" s="7">
        <v>11</v>
      </c>
      <c r="H241" s="7">
        <v>1138</v>
      </c>
      <c r="I241" s="7"/>
      <c r="J241" s="7">
        <v>1138</v>
      </c>
      <c r="K241" s="11">
        <f>Table213[[#This Row],[Fraud]]/Table213[[#This Row],[Grand Total]]</f>
        <v>0</v>
      </c>
    </row>
    <row r="242" spans="7:11" ht="15" customHeight="1" x14ac:dyDescent="0.25">
      <c r="G242" s="7">
        <v>12</v>
      </c>
      <c r="H242" s="7">
        <v>1143</v>
      </c>
      <c r="I242" s="7"/>
      <c r="J242" s="7">
        <v>1143</v>
      </c>
      <c r="K242" s="11">
        <f>Table213[[#This Row],[Fraud]]/Table213[[#This Row],[Grand Total]]</f>
        <v>0</v>
      </c>
    </row>
    <row r="243" spans="7:11" ht="15" customHeight="1" x14ac:dyDescent="0.25">
      <c r="G243" s="7">
        <v>13</v>
      </c>
      <c r="H243" s="7">
        <v>1160</v>
      </c>
      <c r="I243" s="7"/>
      <c r="J243" s="7">
        <v>1160</v>
      </c>
      <c r="K243" s="11">
        <f>Table213[[#This Row],[Fraud]]/Table213[[#This Row],[Grand Total]]</f>
        <v>0</v>
      </c>
    </row>
    <row r="244" spans="7:11" ht="15" customHeight="1" x14ac:dyDescent="0.25">
      <c r="G244" s="7">
        <v>14</v>
      </c>
      <c r="H244" s="7">
        <v>1372</v>
      </c>
      <c r="I244" s="7"/>
      <c r="J244" s="7">
        <v>1372</v>
      </c>
      <c r="K244" s="11">
        <f>Table213[[#This Row],[Fraud]]/Table213[[#This Row],[Grand Total]]</f>
        <v>0</v>
      </c>
    </row>
    <row r="245" spans="7:11" ht="15" customHeight="1" x14ac:dyDescent="0.25">
      <c r="G245" s="7">
        <v>17</v>
      </c>
      <c r="H245" s="7">
        <v>1327</v>
      </c>
      <c r="I245" s="7"/>
      <c r="J245" s="7">
        <v>1327</v>
      </c>
      <c r="K245" s="11">
        <f>Table213[[#This Row],[Fraud]]/Table213[[#This Row],[Grand Total]]</f>
        <v>0</v>
      </c>
    </row>
    <row r="246" spans="7:11" ht="15" customHeight="1" x14ac:dyDescent="0.25">
      <c r="G246" s="7">
        <v>19</v>
      </c>
      <c r="H246" s="7">
        <v>1639</v>
      </c>
      <c r="I246" s="7"/>
      <c r="J246" s="7">
        <v>1639</v>
      </c>
      <c r="K246" s="11">
        <f>Table213[[#This Row],[Fraud]]/Table213[[#This Row],[Grand Total]]</f>
        <v>0</v>
      </c>
    </row>
    <row r="247" spans="7:11" ht="15" customHeight="1" x14ac:dyDescent="0.25">
      <c r="G247" s="7">
        <v>23</v>
      </c>
      <c r="H247" s="7">
        <v>180</v>
      </c>
      <c r="I247" s="7"/>
      <c r="J247" s="7">
        <v>180</v>
      </c>
      <c r="K247" s="11">
        <f>Table213[[#This Row],[Fraud]]/Table213[[#This Row],[Grand Total]]</f>
        <v>0</v>
      </c>
    </row>
    <row r="248" spans="7:11" ht="15" customHeight="1" x14ac:dyDescent="0.25">
      <c r="G248" s="7">
        <v>24</v>
      </c>
      <c r="H248" s="7">
        <v>91</v>
      </c>
      <c r="I248" s="7"/>
      <c r="J248" s="7">
        <v>91</v>
      </c>
      <c r="K248" s="11">
        <f>Table213[[#This Row],[Fraud]]/Table213[[#This Row],[Grand Total]]</f>
        <v>0</v>
      </c>
    </row>
    <row r="249" spans="7:11" ht="15" customHeight="1" x14ac:dyDescent="0.25">
      <c r="G249" s="7">
        <v>26</v>
      </c>
      <c r="H249" s="7">
        <v>12</v>
      </c>
      <c r="I249" s="7"/>
      <c r="J249" s="7">
        <v>12</v>
      </c>
      <c r="K249" s="11">
        <f>Table213[[#This Row],[Fraud]]/Table213[[#This Row],[Grand Total]]</f>
        <v>0</v>
      </c>
    </row>
    <row r="250" spans="7:11" ht="15" customHeight="1" x14ac:dyDescent="0.25">
      <c r="G250" s="7">
        <v>27</v>
      </c>
      <c r="H250" s="7">
        <v>1</v>
      </c>
      <c r="I250" s="7"/>
      <c r="J250" s="7">
        <v>1</v>
      </c>
      <c r="K250" s="11">
        <f>Table213[[#This Row],[Fraud]]/Table213[[#This Row],[Grand Total]]</f>
        <v>0</v>
      </c>
    </row>
    <row r="251" spans="7:11" ht="15" customHeight="1" x14ac:dyDescent="0.25">
      <c r="G251" s="7">
        <v>33</v>
      </c>
      <c r="H251" s="7">
        <v>722</v>
      </c>
      <c r="I251" s="7"/>
      <c r="J251" s="7">
        <v>722</v>
      </c>
      <c r="K251" s="11">
        <f>Table213[[#This Row],[Fraud]]/Table213[[#This Row],[Grand Total]]</f>
        <v>0</v>
      </c>
    </row>
    <row r="252" spans="7:11" ht="15" customHeight="1" x14ac:dyDescent="0.25">
      <c r="G252" s="7">
        <v>34</v>
      </c>
      <c r="H252" s="7">
        <v>993</v>
      </c>
      <c r="I252" s="7"/>
      <c r="J252" s="7">
        <v>993</v>
      </c>
      <c r="K252" s="11">
        <f>Table213[[#This Row],[Fraud]]/Table213[[#This Row],[Grand Total]]</f>
        <v>0</v>
      </c>
    </row>
    <row r="253" spans="7:11" ht="15" customHeight="1" x14ac:dyDescent="0.25">
      <c r="G253" s="7">
        <v>36</v>
      </c>
      <c r="H253" s="7">
        <v>1268</v>
      </c>
      <c r="I253" s="7"/>
      <c r="J253" s="7">
        <v>1268</v>
      </c>
      <c r="K253" s="11">
        <f>Table213[[#This Row],[Fraud]]/Table213[[#This Row],[Grand Total]]</f>
        <v>0</v>
      </c>
    </row>
    <row r="254" spans="7:11" ht="15" customHeight="1" x14ac:dyDescent="0.25">
      <c r="G254" s="7">
        <v>39</v>
      </c>
      <c r="H254" s="7">
        <v>724</v>
      </c>
      <c r="I254" s="7"/>
      <c r="J254" s="7">
        <v>724</v>
      </c>
      <c r="K254" s="11">
        <f>Table213[[#This Row],[Fraud]]/Table213[[#This Row],[Grand Total]]</f>
        <v>0</v>
      </c>
    </row>
    <row r="255" spans="7:11" ht="15" customHeight="1" x14ac:dyDescent="0.25">
      <c r="G255" s="7">
        <v>40</v>
      </c>
      <c r="H255" s="7">
        <v>1052</v>
      </c>
      <c r="I255" s="7"/>
      <c r="J255" s="7">
        <v>1052</v>
      </c>
      <c r="K255" s="11">
        <f>Table213[[#This Row],[Fraud]]/Table213[[#This Row],[Grand Total]]</f>
        <v>0</v>
      </c>
    </row>
    <row r="256" spans="7:11" ht="15" customHeight="1" x14ac:dyDescent="0.25">
      <c r="G256" s="7">
        <v>41</v>
      </c>
      <c r="H256" s="7">
        <v>1131</v>
      </c>
      <c r="I256" s="7"/>
      <c r="J256" s="7">
        <v>1131</v>
      </c>
      <c r="K256" s="11">
        <f>Table213[[#This Row],[Fraud]]/Table213[[#This Row],[Grand Total]]</f>
        <v>0</v>
      </c>
    </row>
    <row r="257" spans="7:11" ht="15" customHeight="1" x14ac:dyDescent="0.25">
      <c r="G257" s="7">
        <v>44</v>
      </c>
      <c r="H257" s="7">
        <v>1240</v>
      </c>
      <c r="I257" s="7"/>
      <c r="J257" s="7">
        <v>1240</v>
      </c>
      <c r="K257" s="11">
        <f>Table213[[#This Row],[Fraud]]/Table213[[#This Row],[Grand Total]]</f>
        <v>0</v>
      </c>
    </row>
    <row r="258" spans="7:11" ht="15" customHeight="1" x14ac:dyDescent="0.25">
      <c r="G258" s="7">
        <v>48</v>
      </c>
      <c r="H258" s="7">
        <v>191</v>
      </c>
      <c r="I258" s="7"/>
      <c r="J258" s="7">
        <v>191</v>
      </c>
      <c r="K258" s="11">
        <f>Table213[[#This Row],[Fraud]]/Table213[[#This Row],[Grand Total]]</f>
        <v>0</v>
      </c>
    </row>
    <row r="259" spans="7:11" ht="15" customHeight="1" x14ac:dyDescent="0.25">
      <c r="G259" s="7">
        <v>49</v>
      </c>
      <c r="H259" s="7">
        <v>28</v>
      </c>
      <c r="I259" s="7"/>
      <c r="J259" s="7">
        <v>28</v>
      </c>
      <c r="K259" s="11">
        <f>Table213[[#This Row],[Fraud]]/Table213[[#This Row],[Grand Total]]</f>
        <v>0</v>
      </c>
    </row>
    <row r="260" spans="7:11" ht="15" customHeight="1" x14ac:dyDescent="0.25">
      <c r="G260" s="7">
        <v>93</v>
      </c>
      <c r="H260" s="7">
        <v>147</v>
      </c>
      <c r="I260" s="7"/>
      <c r="J260" s="7">
        <v>147</v>
      </c>
      <c r="K260" s="11">
        <f>Table213[[#This Row],[Fraud]]/Table213[[#This Row],[Grand Total]]</f>
        <v>0</v>
      </c>
    </row>
    <row r="261" spans="7:11" ht="15" customHeight="1" x14ac:dyDescent="0.25">
      <c r="G261" s="7">
        <v>95</v>
      </c>
      <c r="H261" s="7">
        <v>215</v>
      </c>
      <c r="I261" s="7"/>
      <c r="J261" s="7">
        <v>215</v>
      </c>
      <c r="K261" s="11">
        <f>Table213[[#This Row],[Fraud]]/Table213[[#This Row],[Grand Total]]</f>
        <v>0</v>
      </c>
    </row>
    <row r="262" spans="7:11" ht="15" customHeight="1" x14ac:dyDescent="0.25">
      <c r="G262" s="7">
        <v>96</v>
      </c>
      <c r="H262" s="7">
        <v>184</v>
      </c>
      <c r="I262" s="7"/>
      <c r="J262" s="7">
        <v>184</v>
      </c>
      <c r="K262" s="11">
        <f>Table213[[#This Row],[Fraud]]/Table213[[#This Row],[Grand Total]]</f>
        <v>0</v>
      </c>
    </row>
    <row r="263" spans="7:11" ht="15" customHeight="1" x14ac:dyDescent="0.25">
      <c r="G263" s="7">
        <v>97</v>
      </c>
      <c r="H263" s="7">
        <v>29</v>
      </c>
      <c r="I263" s="7"/>
      <c r="J263" s="7">
        <v>29</v>
      </c>
      <c r="K263" s="11">
        <f>Table213[[#This Row],[Fraud]]/Table213[[#This Row],[Grand Total]]</f>
        <v>0</v>
      </c>
    </row>
    <row r="264" spans="7:11" ht="15" customHeight="1" x14ac:dyDescent="0.25">
      <c r="G264" s="7">
        <v>121</v>
      </c>
      <c r="H264" s="7">
        <v>30</v>
      </c>
      <c r="I264" s="7"/>
      <c r="J264" s="7">
        <v>30</v>
      </c>
      <c r="K264" s="11">
        <f>Table213[[#This Row],[Fraud]]/Table213[[#This Row],[Grand Total]]</f>
        <v>0</v>
      </c>
    </row>
    <row r="265" spans="7:11" ht="15" customHeight="1" x14ac:dyDescent="0.25">
      <c r="G265" s="7">
        <v>122</v>
      </c>
      <c r="H265" s="7">
        <v>11</v>
      </c>
      <c r="I265" s="7"/>
      <c r="J265" s="7">
        <v>11</v>
      </c>
      <c r="K265" s="11">
        <f>Table213[[#This Row],[Fraud]]/Table213[[#This Row],[Grand Total]]</f>
        <v>0</v>
      </c>
    </row>
    <row r="266" spans="7:11" ht="15" customHeight="1" x14ac:dyDescent="0.25">
      <c r="G266" s="7">
        <v>123</v>
      </c>
      <c r="H266" s="7">
        <v>2</v>
      </c>
      <c r="I266" s="7"/>
      <c r="J266" s="7">
        <v>2</v>
      </c>
      <c r="K266" s="11">
        <f>Table213[[#This Row],[Fraud]]/Table213[[#This Row],[Grand Total]]</f>
        <v>0</v>
      </c>
    </row>
    <row r="267" spans="7:11" ht="15" customHeight="1" x14ac:dyDescent="0.25">
      <c r="G267" s="7">
        <v>130</v>
      </c>
      <c r="H267" s="7">
        <v>1006</v>
      </c>
      <c r="I267" s="7"/>
      <c r="J267" s="7">
        <v>1006</v>
      </c>
      <c r="K267" s="11">
        <f>Table213[[#This Row],[Fraud]]/Table213[[#This Row],[Grand Total]]</f>
        <v>0</v>
      </c>
    </row>
    <row r="268" spans="7:11" ht="15" customHeight="1" x14ac:dyDescent="0.25">
      <c r="G268" s="7">
        <v>131</v>
      </c>
      <c r="H268" s="7">
        <v>1146</v>
      </c>
      <c r="I268" s="7"/>
      <c r="J268" s="7">
        <v>1146</v>
      </c>
      <c r="K268" s="11">
        <f>Table213[[#This Row],[Fraud]]/Table213[[#This Row],[Grand Total]]</f>
        <v>0</v>
      </c>
    </row>
    <row r="269" spans="7:11" ht="15" customHeight="1" x14ac:dyDescent="0.25">
      <c r="G269" s="7">
        <v>132</v>
      </c>
      <c r="H269" s="7">
        <v>1145</v>
      </c>
      <c r="I269" s="7"/>
      <c r="J269" s="7">
        <v>1145</v>
      </c>
      <c r="K269" s="11">
        <f>Table213[[#This Row],[Fraud]]/Table213[[#This Row],[Grand Total]]</f>
        <v>0</v>
      </c>
    </row>
    <row r="270" spans="7:11" ht="15" customHeight="1" x14ac:dyDescent="0.25">
      <c r="G270" s="7">
        <v>134</v>
      </c>
      <c r="H270" s="7">
        <v>1011</v>
      </c>
      <c r="I270" s="7"/>
      <c r="J270" s="7">
        <v>1011</v>
      </c>
      <c r="K270" s="11">
        <f>Table213[[#This Row],[Fraud]]/Table213[[#This Row],[Grand Total]]</f>
        <v>0</v>
      </c>
    </row>
    <row r="271" spans="7:11" ht="15" customHeight="1" x14ac:dyDescent="0.25">
      <c r="G271" s="7">
        <v>135</v>
      </c>
      <c r="H271" s="7">
        <v>844</v>
      </c>
      <c r="I271" s="7"/>
      <c r="J271" s="7">
        <v>844</v>
      </c>
      <c r="K271" s="11">
        <f>Table213[[#This Row],[Fraud]]/Table213[[#This Row],[Grand Total]]</f>
        <v>0</v>
      </c>
    </row>
    <row r="272" spans="7:11" ht="15" customHeight="1" x14ac:dyDescent="0.25">
      <c r="G272" s="7">
        <v>136</v>
      </c>
      <c r="H272" s="7">
        <v>955</v>
      </c>
      <c r="I272" s="7"/>
      <c r="J272" s="7">
        <v>955</v>
      </c>
      <c r="K272" s="11">
        <f>Table213[[#This Row],[Fraud]]/Table213[[#This Row],[Grand Total]]</f>
        <v>0</v>
      </c>
    </row>
    <row r="273" spans="7:11" ht="15" customHeight="1" x14ac:dyDescent="0.25">
      <c r="G273" s="7">
        <v>138</v>
      </c>
      <c r="H273" s="7">
        <v>969</v>
      </c>
      <c r="I273" s="7"/>
      <c r="J273" s="7">
        <v>969</v>
      </c>
      <c r="K273" s="11">
        <f>Table213[[#This Row],[Fraud]]/Table213[[#This Row],[Grand Total]]</f>
        <v>0</v>
      </c>
    </row>
    <row r="274" spans="7:11" ht="15" customHeight="1" x14ac:dyDescent="0.25">
      <c r="G274" s="7">
        <v>140</v>
      </c>
      <c r="H274" s="7">
        <v>1159</v>
      </c>
      <c r="I274" s="7"/>
      <c r="J274" s="7">
        <v>1159</v>
      </c>
      <c r="K274" s="11">
        <f>Table213[[#This Row],[Fraud]]/Table213[[#This Row],[Grand Total]]</f>
        <v>0</v>
      </c>
    </row>
    <row r="275" spans="7:11" ht="15" customHeight="1" x14ac:dyDescent="0.25">
      <c r="G275" s="7">
        <v>141</v>
      </c>
      <c r="H275" s="7">
        <v>504</v>
      </c>
      <c r="I275" s="7"/>
      <c r="J275" s="7">
        <v>504</v>
      </c>
      <c r="K275" s="11">
        <f>Table213[[#This Row],[Fraud]]/Table213[[#This Row],[Grand Total]]</f>
        <v>0</v>
      </c>
    </row>
    <row r="276" spans="7:11" ht="15" customHeight="1" x14ac:dyDescent="0.25">
      <c r="G276" s="7">
        <v>142</v>
      </c>
      <c r="H276" s="7">
        <v>386</v>
      </c>
      <c r="I276" s="7"/>
      <c r="J276" s="7">
        <v>386</v>
      </c>
      <c r="K276" s="11">
        <f>Table213[[#This Row],[Fraud]]/Table213[[#This Row],[Grand Total]]</f>
        <v>0</v>
      </c>
    </row>
    <row r="277" spans="7:11" ht="15" customHeight="1" x14ac:dyDescent="0.25">
      <c r="G277" s="7">
        <v>144</v>
      </c>
      <c r="H277" s="7">
        <v>106</v>
      </c>
      <c r="I277" s="7"/>
      <c r="J277" s="7">
        <v>106</v>
      </c>
      <c r="K277" s="11">
        <f>Table213[[#This Row],[Fraud]]/Table213[[#This Row],[Grand Total]]</f>
        <v>0</v>
      </c>
    </row>
    <row r="278" spans="7:11" ht="15" customHeight="1" x14ac:dyDescent="0.25">
      <c r="G278" s="7">
        <v>145</v>
      </c>
      <c r="H278" s="7">
        <v>33</v>
      </c>
      <c r="I278" s="7"/>
      <c r="J278" s="7">
        <v>33</v>
      </c>
      <c r="K278" s="11">
        <f>Table213[[#This Row],[Fraud]]/Table213[[#This Row],[Grand Total]]</f>
        <v>0</v>
      </c>
    </row>
    <row r="279" spans="7:11" ht="15" customHeight="1" x14ac:dyDescent="0.25">
      <c r="G279" s="7">
        <v>147</v>
      </c>
      <c r="H279" s="7">
        <v>4</v>
      </c>
      <c r="I279" s="7"/>
      <c r="J279" s="7">
        <v>4</v>
      </c>
      <c r="K279" s="11">
        <f>Table213[[#This Row],[Fraud]]/Table213[[#This Row],[Grand Total]]</f>
        <v>0</v>
      </c>
    </row>
    <row r="280" spans="7:11" ht="15" customHeight="1" x14ac:dyDescent="0.25">
      <c r="G280" s="7">
        <v>153</v>
      </c>
      <c r="H280" s="7">
        <v>604</v>
      </c>
      <c r="I280" s="7"/>
      <c r="J280" s="7">
        <v>604</v>
      </c>
      <c r="K280" s="11">
        <f>Table213[[#This Row],[Fraud]]/Table213[[#This Row],[Grand Total]]</f>
        <v>0</v>
      </c>
    </row>
    <row r="281" spans="7:11" ht="15" customHeight="1" x14ac:dyDescent="0.25">
      <c r="G281" s="7">
        <v>154</v>
      </c>
      <c r="H281" s="7">
        <v>938</v>
      </c>
      <c r="I281" s="7"/>
      <c r="J281" s="7">
        <v>938</v>
      </c>
      <c r="K281" s="11">
        <f>Table213[[#This Row],[Fraud]]/Table213[[#This Row],[Grand Total]]</f>
        <v>0</v>
      </c>
    </row>
    <row r="282" spans="7:11" ht="15" customHeight="1" x14ac:dyDescent="0.25">
      <c r="G282" s="7">
        <v>160</v>
      </c>
      <c r="H282" s="7">
        <v>864</v>
      </c>
      <c r="I282" s="7"/>
      <c r="J282" s="7">
        <v>864</v>
      </c>
      <c r="K282" s="11">
        <f>Table213[[#This Row],[Fraud]]/Table213[[#This Row],[Grand Total]]</f>
        <v>0</v>
      </c>
    </row>
    <row r="283" spans="7:11" ht="15" customHeight="1" x14ac:dyDescent="0.25">
      <c r="G283" s="7">
        <v>163</v>
      </c>
      <c r="H283" s="7">
        <v>1480</v>
      </c>
      <c r="I283" s="7"/>
      <c r="J283" s="7">
        <v>1480</v>
      </c>
      <c r="K283" s="11">
        <f>Table213[[#This Row],[Fraud]]/Table213[[#This Row],[Grand Total]]</f>
        <v>0</v>
      </c>
    </row>
    <row r="284" spans="7:11" ht="15" customHeight="1" x14ac:dyDescent="0.25">
      <c r="G284" s="7">
        <v>164</v>
      </c>
      <c r="H284" s="7">
        <v>1228</v>
      </c>
      <c r="I284" s="7"/>
      <c r="J284" s="7">
        <v>1228</v>
      </c>
      <c r="K284" s="11">
        <f>Table213[[#This Row],[Fraud]]/Table213[[#This Row],[Grand Total]]</f>
        <v>0</v>
      </c>
    </row>
    <row r="285" spans="7:11" ht="15" customHeight="1" x14ac:dyDescent="0.25">
      <c r="G285" s="7">
        <v>165</v>
      </c>
      <c r="H285" s="7">
        <v>513</v>
      </c>
      <c r="I285" s="7"/>
      <c r="J285" s="7">
        <v>513</v>
      </c>
      <c r="K285" s="11">
        <f>Table213[[#This Row],[Fraud]]/Table213[[#This Row],[Grand Total]]</f>
        <v>0</v>
      </c>
    </row>
    <row r="286" spans="7:11" ht="15" customHeight="1" x14ac:dyDescent="0.25">
      <c r="G286" s="7">
        <v>166</v>
      </c>
      <c r="H286" s="7">
        <v>400</v>
      </c>
      <c r="I286" s="7"/>
      <c r="J286" s="7">
        <v>400</v>
      </c>
      <c r="K286" s="11">
        <f>Table213[[#This Row],[Fraud]]/Table213[[#This Row],[Grand Total]]</f>
        <v>0</v>
      </c>
    </row>
    <row r="287" spans="7:11" ht="15" customHeight="1" x14ac:dyDescent="0.25">
      <c r="G287" s="7">
        <v>167</v>
      </c>
      <c r="H287" s="7">
        <v>244</v>
      </c>
      <c r="I287" s="7"/>
      <c r="J287" s="7">
        <v>244</v>
      </c>
      <c r="K287" s="11">
        <f>Table213[[#This Row],[Fraud]]/Table213[[#This Row],[Grand Total]]</f>
        <v>0</v>
      </c>
    </row>
    <row r="288" spans="7:11" ht="15" customHeight="1" x14ac:dyDescent="0.25">
      <c r="G288" s="7">
        <v>168</v>
      </c>
      <c r="H288" s="7">
        <v>116</v>
      </c>
      <c r="I288" s="7"/>
      <c r="J288" s="7">
        <v>116</v>
      </c>
      <c r="K288" s="11">
        <f>Table213[[#This Row],[Fraud]]/Table213[[#This Row],[Grand Total]]</f>
        <v>0</v>
      </c>
    </row>
    <row r="289" spans="7:11" ht="15" customHeight="1" x14ac:dyDescent="0.25">
      <c r="G289" s="7">
        <v>169</v>
      </c>
      <c r="H289" s="7">
        <v>41</v>
      </c>
      <c r="I289" s="7"/>
      <c r="J289" s="7">
        <v>41</v>
      </c>
      <c r="K289" s="11">
        <f>Table213[[#This Row],[Fraud]]/Table213[[#This Row],[Grand Total]]</f>
        <v>0</v>
      </c>
    </row>
    <row r="290" spans="7:11" ht="15" customHeight="1" x14ac:dyDescent="0.25">
      <c r="G290" s="7">
        <v>170</v>
      </c>
      <c r="H290" s="7">
        <v>13</v>
      </c>
      <c r="I290" s="7"/>
      <c r="J290" s="7">
        <v>13</v>
      </c>
      <c r="K290" s="11">
        <f>Table213[[#This Row],[Fraud]]/Table213[[#This Row],[Grand Total]]</f>
        <v>0</v>
      </c>
    </row>
    <row r="291" spans="7:11" ht="15" customHeight="1" x14ac:dyDescent="0.25">
      <c r="G291" s="7">
        <v>179</v>
      </c>
      <c r="H291" s="7">
        <v>958</v>
      </c>
      <c r="I291" s="7"/>
      <c r="J291" s="7">
        <v>958</v>
      </c>
      <c r="K291" s="11">
        <f>Table213[[#This Row],[Fraud]]/Table213[[#This Row],[Grand Total]]</f>
        <v>0</v>
      </c>
    </row>
    <row r="292" spans="7:11" ht="15" customHeight="1" x14ac:dyDescent="0.25">
      <c r="G292" s="7">
        <v>180</v>
      </c>
      <c r="H292" s="7">
        <v>994</v>
      </c>
      <c r="I292" s="7"/>
      <c r="J292" s="7">
        <v>994</v>
      </c>
      <c r="K292" s="11">
        <f>Table213[[#This Row],[Fraud]]/Table213[[#This Row],[Grand Total]]</f>
        <v>0</v>
      </c>
    </row>
    <row r="293" spans="7:11" ht="15" customHeight="1" x14ac:dyDescent="0.25">
      <c r="G293" s="7">
        <v>182</v>
      </c>
      <c r="H293" s="7">
        <v>991</v>
      </c>
      <c r="I293" s="7"/>
      <c r="J293" s="7">
        <v>991</v>
      </c>
      <c r="K293" s="11">
        <f>Table213[[#This Row],[Fraud]]/Table213[[#This Row],[Grand Total]]</f>
        <v>0</v>
      </c>
    </row>
    <row r="294" spans="7:11" ht="15" customHeight="1" x14ac:dyDescent="0.25">
      <c r="G294" s="7">
        <v>183</v>
      </c>
      <c r="H294" s="7">
        <v>993</v>
      </c>
      <c r="I294" s="7"/>
      <c r="J294" s="7">
        <v>993</v>
      </c>
      <c r="K294" s="11">
        <f>Table213[[#This Row],[Fraud]]/Table213[[#This Row],[Grand Total]]</f>
        <v>0</v>
      </c>
    </row>
    <row r="295" spans="7:11" ht="15" customHeight="1" x14ac:dyDescent="0.25">
      <c r="G295" s="7">
        <v>185</v>
      </c>
      <c r="H295" s="7">
        <v>1169</v>
      </c>
      <c r="I295" s="7"/>
      <c r="J295" s="7">
        <v>1169</v>
      </c>
      <c r="K295" s="11">
        <f>Table213[[#This Row],[Fraud]]/Table213[[#This Row],[Grand Total]]</f>
        <v>0</v>
      </c>
    </row>
    <row r="296" spans="7:11" ht="15" customHeight="1" x14ac:dyDescent="0.25">
      <c r="G296" s="7">
        <v>188</v>
      </c>
      <c r="H296" s="7">
        <v>1213</v>
      </c>
      <c r="I296" s="7"/>
      <c r="J296" s="7">
        <v>1213</v>
      </c>
      <c r="K296" s="11">
        <f>Table213[[#This Row],[Fraud]]/Table213[[#This Row],[Grand Total]]</f>
        <v>0</v>
      </c>
    </row>
    <row r="297" spans="7:11" ht="15" customHeight="1" x14ac:dyDescent="0.25">
      <c r="G297" s="7">
        <v>190</v>
      </c>
      <c r="H297" s="7">
        <v>393</v>
      </c>
      <c r="I297" s="7"/>
      <c r="J297" s="7">
        <v>393</v>
      </c>
      <c r="K297" s="11">
        <f>Table213[[#This Row],[Fraud]]/Table213[[#This Row],[Grand Total]]</f>
        <v>0</v>
      </c>
    </row>
    <row r="298" spans="7:11" ht="15" customHeight="1" x14ac:dyDescent="0.25">
      <c r="G298" s="7">
        <v>191</v>
      </c>
      <c r="H298" s="7">
        <v>291</v>
      </c>
      <c r="I298" s="7"/>
      <c r="J298" s="7">
        <v>291</v>
      </c>
      <c r="K298" s="11">
        <f>Table213[[#This Row],[Fraud]]/Table213[[#This Row],[Grand Total]]</f>
        <v>0</v>
      </c>
    </row>
    <row r="299" spans="7:11" ht="15" customHeight="1" x14ac:dyDescent="0.25">
      <c r="G299" s="7">
        <v>192</v>
      </c>
      <c r="H299" s="7">
        <v>148</v>
      </c>
      <c r="I299" s="7"/>
      <c r="J299" s="7">
        <v>148</v>
      </c>
      <c r="K299" s="11">
        <f>Table213[[#This Row],[Fraud]]/Table213[[#This Row],[Grand Total]]</f>
        <v>0</v>
      </c>
    </row>
    <row r="300" spans="7:11" ht="15" customHeight="1" x14ac:dyDescent="0.25">
      <c r="G300" s="7">
        <v>193</v>
      </c>
      <c r="H300" s="7">
        <v>49</v>
      </c>
      <c r="I300" s="7"/>
      <c r="J300" s="7">
        <v>49</v>
      </c>
      <c r="K300" s="11">
        <f>Table213[[#This Row],[Fraud]]/Table213[[#This Row],[Grand Total]]</f>
        <v>0</v>
      </c>
    </row>
    <row r="301" spans="7:11" ht="15" customHeight="1" x14ac:dyDescent="0.25">
      <c r="G301" s="7">
        <v>195</v>
      </c>
      <c r="H301" s="7">
        <v>1</v>
      </c>
      <c r="I301" s="7"/>
      <c r="J301" s="7">
        <v>1</v>
      </c>
      <c r="K301" s="11">
        <f>Table213[[#This Row],[Fraud]]/Table213[[#This Row],[Grand Total]]</f>
        <v>0</v>
      </c>
    </row>
    <row r="302" spans="7:11" ht="15" customHeight="1" x14ac:dyDescent="0.25">
      <c r="G302" s="7">
        <v>201</v>
      </c>
      <c r="H302" s="7">
        <v>573</v>
      </c>
      <c r="I302" s="7"/>
      <c r="J302" s="7">
        <v>573</v>
      </c>
      <c r="K302" s="11">
        <f>Table213[[#This Row],[Fraud]]/Table213[[#This Row],[Grand Total]]</f>
        <v>0</v>
      </c>
    </row>
    <row r="303" spans="7:11" ht="15" customHeight="1" x14ac:dyDescent="0.25">
      <c r="G303" s="7">
        <v>202</v>
      </c>
      <c r="H303" s="7">
        <v>1017</v>
      </c>
      <c r="I303" s="7"/>
      <c r="J303" s="7">
        <v>1017</v>
      </c>
      <c r="K303" s="11">
        <f>Table213[[#This Row],[Fraud]]/Table213[[#This Row],[Grand Total]]</f>
        <v>0</v>
      </c>
    </row>
    <row r="304" spans="7:11" ht="15" customHeight="1" x14ac:dyDescent="0.25">
      <c r="G304" s="7">
        <v>203</v>
      </c>
      <c r="H304" s="7">
        <v>1079</v>
      </c>
      <c r="I304" s="7"/>
      <c r="J304" s="7">
        <v>1079</v>
      </c>
      <c r="K304" s="11">
        <f>Table213[[#This Row],[Fraud]]/Table213[[#This Row],[Grand Total]]</f>
        <v>0</v>
      </c>
    </row>
    <row r="305" spans="7:11" ht="15" customHeight="1" x14ac:dyDescent="0.25">
      <c r="G305" s="7">
        <v>204</v>
      </c>
      <c r="H305" s="7">
        <v>1214</v>
      </c>
      <c r="I305" s="7"/>
      <c r="J305" s="7">
        <v>1214</v>
      </c>
      <c r="K305" s="11">
        <f>Table213[[#This Row],[Fraud]]/Table213[[#This Row],[Grand Total]]</f>
        <v>0</v>
      </c>
    </row>
    <row r="306" spans="7:11" ht="15" customHeight="1" x14ac:dyDescent="0.25">
      <c r="G306" s="7">
        <v>205</v>
      </c>
      <c r="H306" s="7">
        <v>1056</v>
      </c>
      <c r="I306" s="7"/>
      <c r="J306" s="7">
        <v>1056</v>
      </c>
      <c r="K306" s="11">
        <f>Table213[[#This Row],[Fraud]]/Table213[[#This Row],[Grand Total]]</f>
        <v>0</v>
      </c>
    </row>
    <row r="307" spans="7:11" ht="15" customHeight="1" x14ac:dyDescent="0.25">
      <c r="G307" s="7">
        <v>207</v>
      </c>
      <c r="H307" s="7">
        <v>884</v>
      </c>
      <c r="I307" s="7"/>
      <c r="J307" s="7">
        <v>884</v>
      </c>
      <c r="K307" s="11">
        <f>Table213[[#This Row],[Fraud]]/Table213[[#This Row],[Grand Total]]</f>
        <v>0</v>
      </c>
    </row>
    <row r="308" spans="7:11" ht="15" customHeight="1" x14ac:dyDescent="0.25">
      <c r="G308" s="7">
        <v>208</v>
      </c>
      <c r="H308" s="7">
        <v>938</v>
      </c>
      <c r="I308" s="7"/>
      <c r="J308" s="7">
        <v>938</v>
      </c>
      <c r="K308" s="11">
        <f>Table213[[#This Row],[Fraud]]/Table213[[#This Row],[Grand Total]]</f>
        <v>0</v>
      </c>
    </row>
    <row r="309" spans="7:11" ht="15" customHeight="1" x14ac:dyDescent="0.25">
      <c r="G309" s="7">
        <v>209</v>
      </c>
      <c r="H309" s="7">
        <v>986</v>
      </c>
      <c r="I309" s="7"/>
      <c r="J309" s="7">
        <v>986</v>
      </c>
      <c r="K309" s="11">
        <f>Table213[[#This Row],[Fraud]]/Table213[[#This Row],[Grand Total]]</f>
        <v>0</v>
      </c>
    </row>
    <row r="310" spans="7:11" ht="15" customHeight="1" x14ac:dyDescent="0.25">
      <c r="G310" s="7">
        <v>210</v>
      </c>
      <c r="H310" s="7">
        <v>1022</v>
      </c>
      <c r="I310" s="7"/>
      <c r="J310" s="7">
        <v>1022</v>
      </c>
      <c r="K310" s="11">
        <f>Table213[[#This Row],[Fraud]]/Table213[[#This Row],[Grand Total]]</f>
        <v>0</v>
      </c>
    </row>
    <row r="311" spans="7:11" ht="15" customHeight="1" x14ac:dyDescent="0.25">
      <c r="G311" s="7">
        <v>211</v>
      </c>
      <c r="H311" s="7">
        <v>1047</v>
      </c>
      <c r="I311" s="7"/>
      <c r="J311" s="7">
        <v>1047</v>
      </c>
      <c r="K311" s="11">
        <f>Table213[[#This Row],[Fraud]]/Table213[[#This Row],[Grand Total]]</f>
        <v>0</v>
      </c>
    </row>
    <row r="312" spans="7:11" ht="15" customHeight="1" x14ac:dyDescent="0.25">
      <c r="G312" s="7">
        <v>213</v>
      </c>
      <c r="H312" s="7">
        <v>483</v>
      </c>
      <c r="I312" s="7"/>
      <c r="J312" s="7">
        <v>483</v>
      </c>
      <c r="K312" s="11">
        <f>Table213[[#This Row],[Fraud]]/Table213[[#This Row],[Grand Total]]</f>
        <v>0</v>
      </c>
    </row>
    <row r="313" spans="7:11" ht="15" customHeight="1" x14ac:dyDescent="0.25">
      <c r="G313" s="7">
        <v>214</v>
      </c>
      <c r="H313" s="7">
        <v>335</v>
      </c>
      <c r="I313" s="7"/>
      <c r="J313" s="7">
        <v>335</v>
      </c>
      <c r="K313" s="11">
        <f>Table213[[#This Row],[Fraud]]/Table213[[#This Row],[Grand Total]]</f>
        <v>0</v>
      </c>
    </row>
    <row r="314" spans="7:11" ht="15" customHeight="1" x14ac:dyDescent="0.25">
      <c r="G314" s="7">
        <v>215</v>
      </c>
      <c r="H314" s="7">
        <v>267</v>
      </c>
      <c r="I314" s="7"/>
      <c r="J314" s="7">
        <v>267</v>
      </c>
      <c r="K314" s="11">
        <f>Table213[[#This Row],[Fraud]]/Table213[[#This Row],[Grand Total]]</f>
        <v>0</v>
      </c>
    </row>
    <row r="315" spans="7:11" ht="15" customHeight="1" x14ac:dyDescent="0.25">
      <c r="G315" s="7">
        <v>216</v>
      </c>
      <c r="H315" s="7">
        <v>146</v>
      </c>
      <c r="I315" s="7"/>
      <c r="J315" s="7">
        <v>146</v>
      </c>
      <c r="K315" s="11">
        <f>Table213[[#This Row],[Fraud]]/Table213[[#This Row],[Grand Total]]</f>
        <v>0</v>
      </c>
    </row>
    <row r="316" spans="7:11" ht="15" customHeight="1" x14ac:dyDescent="0.25">
      <c r="G316" s="7">
        <v>217</v>
      </c>
      <c r="H316" s="7">
        <v>120</v>
      </c>
      <c r="I316" s="7"/>
      <c r="J316" s="7">
        <v>120</v>
      </c>
      <c r="K316" s="11">
        <f>Table213[[#This Row],[Fraud]]/Table213[[#This Row],[Grand Total]]</f>
        <v>0</v>
      </c>
    </row>
    <row r="317" spans="7:11" ht="15" customHeight="1" x14ac:dyDescent="0.25">
      <c r="G317" s="7">
        <v>225</v>
      </c>
      <c r="H317" s="7">
        <v>570</v>
      </c>
      <c r="I317" s="7"/>
      <c r="J317" s="7">
        <v>570</v>
      </c>
      <c r="K317" s="11">
        <f>Table213[[#This Row],[Fraud]]/Table213[[#This Row],[Grand Total]]</f>
        <v>0</v>
      </c>
    </row>
    <row r="318" spans="7:11" ht="15" customHeight="1" x14ac:dyDescent="0.25">
      <c r="G318" s="7">
        <v>226</v>
      </c>
      <c r="H318" s="7">
        <v>847</v>
      </c>
      <c r="I318" s="7"/>
      <c r="J318" s="7">
        <v>847</v>
      </c>
      <c r="K318" s="11">
        <f>Table213[[#This Row],[Fraud]]/Table213[[#This Row],[Grand Total]]</f>
        <v>0</v>
      </c>
    </row>
    <row r="319" spans="7:11" ht="15" customHeight="1" x14ac:dyDescent="0.25">
      <c r="G319" s="7">
        <v>228</v>
      </c>
      <c r="H319" s="7">
        <v>950</v>
      </c>
      <c r="I319" s="7"/>
      <c r="J319" s="7">
        <v>950</v>
      </c>
      <c r="K319" s="11">
        <f>Table213[[#This Row],[Fraud]]/Table213[[#This Row],[Grand Total]]</f>
        <v>0</v>
      </c>
    </row>
    <row r="320" spans="7:11" ht="15" customHeight="1" x14ac:dyDescent="0.25">
      <c r="G320" s="7">
        <v>229</v>
      </c>
      <c r="H320" s="7">
        <v>879</v>
      </c>
      <c r="I320" s="7"/>
      <c r="J320" s="7">
        <v>879</v>
      </c>
      <c r="K320" s="11">
        <f>Table213[[#This Row],[Fraud]]/Table213[[#This Row],[Grand Total]]</f>
        <v>0</v>
      </c>
    </row>
    <row r="321" spans="7:11" ht="15" customHeight="1" x14ac:dyDescent="0.25">
      <c r="G321" s="7">
        <v>230</v>
      </c>
      <c r="H321" s="7">
        <v>816</v>
      </c>
      <c r="I321" s="7"/>
      <c r="J321" s="7">
        <v>816</v>
      </c>
      <c r="K321" s="11">
        <f>Table213[[#This Row],[Fraud]]/Table213[[#This Row],[Grand Total]]</f>
        <v>0</v>
      </c>
    </row>
    <row r="322" spans="7:11" ht="15" customHeight="1" x14ac:dyDescent="0.25">
      <c r="G322" s="7">
        <v>231</v>
      </c>
      <c r="H322" s="7">
        <v>784</v>
      </c>
      <c r="I322" s="7"/>
      <c r="J322" s="7">
        <v>784</v>
      </c>
      <c r="K322" s="11">
        <f>Table213[[#This Row],[Fraud]]/Table213[[#This Row],[Grand Total]]</f>
        <v>0</v>
      </c>
    </row>
    <row r="323" spans="7:11" ht="15" customHeight="1" x14ac:dyDescent="0.25">
      <c r="G323" s="7">
        <v>232</v>
      </c>
      <c r="H323" s="7">
        <v>868</v>
      </c>
      <c r="I323" s="7"/>
      <c r="J323" s="7">
        <v>868</v>
      </c>
      <c r="K323" s="11">
        <f>Table213[[#This Row],[Fraud]]/Table213[[#This Row],[Grand Total]]</f>
        <v>0</v>
      </c>
    </row>
    <row r="324" spans="7:11" ht="15" customHeight="1" x14ac:dyDescent="0.25">
      <c r="G324" s="7">
        <v>234</v>
      </c>
      <c r="H324" s="7">
        <v>1017</v>
      </c>
      <c r="I324" s="7"/>
      <c r="J324" s="7">
        <v>1017</v>
      </c>
      <c r="K324" s="11">
        <f>Table213[[#This Row],[Fraud]]/Table213[[#This Row],[Grand Total]]</f>
        <v>0</v>
      </c>
    </row>
    <row r="325" spans="7:11" ht="15" customHeight="1" x14ac:dyDescent="0.25">
      <c r="G325" s="7">
        <v>237</v>
      </c>
      <c r="H325" s="7">
        <v>496</v>
      </c>
      <c r="I325" s="7"/>
      <c r="J325" s="7">
        <v>496</v>
      </c>
      <c r="K325" s="11">
        <f>Table213[[#This Row],[Fraud]]/Table213[[#This Row],[Grand Total]]</f>
        <v>0</v>
      </c>
    </row>
    <row r="326" spans="7:11" ht="15" customHeight="1" x14ac:dyDescent="0.25">
      <c r="G326" s="7">
        <v>238</v>
      </c>
      <c r="H326" s="7">
        <v>323</v>
      </c>
      <c r="I326" s="7"/>
      <c r="J326" s="7">
        <v>323</v>
      </c>
      <c r="K326" s="11">
        <f>Table213[[#This Row],[Fraud]]/Table213[[#This Row],[Grand Total]]</f>
        <v>0</v>
      </c>
    </row>
    <row r="327" spans="7:11" ht="15" customHeight="1" x14ac:dyDescent="0.25">
      <c r="G327" s="7">
        <v>239</v>
      </c>
      <c r="H327" s="7">
        <v>282</v>
      </c>
      <c r="I327" s="7"/>
      <c r="J327" s="7">
        <v>282</v>
      </c>
      <c r="K327" s="11">
        <f>Table213[[#This Row],[Fraud]]/Table213[[#This Row],[Grand Total]]</f>
        <v>0</v>
      </c>
    </row>
    <row r="328" spans="7:11" ht="15" customHeight="1" x14ac:dyDescent="0.25">
      <c r="G328" s="7">
        <v>240</v>
      </c>
      <c r="H328" s="7">
        <v>116</v>
      </c>
      <c r="I328" s="7"/>
      <c r="J328" s="7">
        <v>116</v>
      </c>
      <c r="K328" s="11">
        <f>Table213[[#This Row],[Fraud]]/Table213[[#This Row],[Grand Total]]</f>
        <v>0</v>
      </c>
    </row>
    <row r="329" spans="7:11" ht="15" customHeight="1" x14ac:dyDescent="0.25">
      <c r="G329" s="7">
        <v>242</v>
      </c>
      <c r="H329" s="7">
        <v>22</v>
      </c>
      <c r="I329" s="7"/>
      <c r="J329" s="7">
        <v>22</v>
      </c>
      <c r="K329" s="11">
        <f>Table213[[#This Row],[Fraud]]/Table213[[#This Row],[Grand Total]]</f>
        <v>0</v>
      </c>
    </row>
    <row r="330" spans="7:11" ht="15" customHeight="1" x14ac:dyDescent="0.25">
      <c r="G330" s="7">
        <v>250</v>
      </c>
      <c r="H330" s="7">
        <v>1033</v>
      </c>
      <c r="I330" s="7"/>
      <c r="J330" s="7">
        <v>1033</v>
      </c>
      <c r="K330" s="11">
        <f>Table213[[#This Row],[Fraud]]/Table213[[#This Row],[Grand Total]]</f>
        <v>0</v>
      </c>
    </row>
    <row r="331" spans="7:11" ht="15" customHeight="1" x14ac:dyDescent="0.25">
      <c r="G331" s="7">
        <v>251</v>
      </c>
      <c r="H331" s="7">
        <v>1102</v>
      </c>
      <c r="I331" s="7"/>
      <c r="J331" s="7">
        <v>1102</v>
      </c>
      <c r="K331" s="11">
        <f>Table213[[#This Row],[Fraud]]/Table213[[#This Row],[Grand Total]]</f>
        <v>0</v>
      </c>
    </row>
    <row r="332" spans="7:11" ht="15" customHeight="1" x14ac:dyDescent="0.25">
      <c r="G332" s="7">
        <v>252</v>
      </c>
      <c r="H332" s="7">
        <v>1135</v>
      </c>
      <c r="I332" s="7"/>
      <c r="J332" s="7">
        <v>1135</v>
      </c>
      <c r="K332" s="11">
        <f>Table213[[#This Row],[Fraud]]/Table213[[#This Row],[Grand Total]]</f>
        <v>0</v>
      </c>
    </row>
    <row r="333" spans="7:11" ht="15" customHeight="1" x14ac:dyDescent="0.25">
      <c r="G333" s="7">
        <v>253</v>
      </c>
      <c r="H333" s="7">
        <v>1061</v>
      </c>
      <c r="I333" s="7"/>
      <c r="J333" s="7">
        <v>1061</v>
      </c>
      <c r="K333" s="11">
        <f>Table213[[#This Row],[Fraud]]/Table213[[#This Row],[Grand Total]]</f>
        <v>0</v>
      </c>
    </row>
    <row r="334" spans="7:11" ht="15" customHeight="1" x14ac:dyDescent="0.25">
      <c r="G334" s="7">
        <v>254</v>
      </c>
      <c r="H334" s="7">
        <v>955</v>
      </c>
      <c r="I334" s="7"/>
      <c r="J334" s="7">
        <v>955</v>
      </c>
      <c r="K334" s="11">
        <f>Table213[[#This Row],[Fraud]]/Table213[[#This Row],[Grand Total]]</f>
        <v>0</v>
      </c>
    </row>
    <row r="335" spans="7:11" ht="15" customHeight="1" x14ac:dyDescent="0.25">
      <c r="G335" s="7">
        <v>256</v>
      </c>
      <c r="H335" s="7">
        <v>848</v>
      </c>
      <c r="I335" s="7"/>
      <c r="J335" s="7">
        <v>848</v>
      </c>
      <c r="K335" s="11">
        <f>Table213[[#This Row],[Fraud]]/Table213[[#This Row],[Grand Total]]</f>
        <v>0</v>
      </c>
    </row>
    <row r="336" spans="7:11" ht="15" customHeight="1" x14ac:dyDescent="0.25">
      <c r="G336" s="7">
        <v>257</v>
      </c>
      <c r="H336" s="7">
        <v>854</v>
      </c>
      <c r="I336" s="7"/>
      <c r="J336" s="7">
        <v>854</v>
      </c>
      <c r="K336" s="11">
        <f>Table213[[#This Row],[Fraud]]/Table213[[#This Row],[Grand Total]]</f>
        <v>0</v>
      </c>
    </row>
    <row r="337" spans="7:11" ht="15" customHeight="1" x14ac:dyDescent="0.25">
      <c r="G337" s="7">
        <v>258</v>
      </c>
      <c r="H337" s="7">
        <v>894</v>
      </c>
      <c r="I337" s="7"/>
      <c r="J337" s="7">
        <v>894</v>
      </c>
      <c r="K337" s="11">
        <f>Table213[[#This Row],[Fraud]]/Table213[[#This Row],[Grand Total]]</f>
        <v>0</v>
      </c>
    </row>
    <row r="338" spans="7:11" ht="15" customHeight="1" x14ac:dyDescent="0.25">
      <c r="G338" s="7">
        <v>259</v>
      </c>
      <c r="H338" s="7">
        <v>1341</v>
      </c>
      <c r="I338" s="7"/>
      <c r="J338" s="7">
        <v>1341</v>
      </c>
      <c r="K338" s="11">
        <f>Table213[[#This Row],[Fraud]]/Table213[[#This Row],[Grand Total]]</f>
        <v>0</v>
      </c>
    </row>
    <row r="339" spans="7:11" ht="15" customHeight="1" x14ac:dyDescent="0.25">
      <c r="G339" s="7">
        <v>260</v>
      </c>
      <c r="H339" s="7">
        <v>1037</v>
      </c>
      <c r="I339" s="7"/>
      <c r="J339" s="7">
        <v>1037</v>
      </c>
      <c r="K339" s="11">
        <f>Table213[[#This Row],[Fraud]]/Table213[[#This Row],[Grand Total]]</f>
        <v>0</v>
      </c>
    </row>
    <row r="340" spans="7:11" ht="15" customHeight="1" x14ac:dyDescent="0.25">
      <c r="G340" s="7">
        <v>263</v>
      </c>
      <c r="H340" s="7">
        <v>250</v>
      </c>
      <c r="I340" s="7"/>
      <c r="J340" s="7">
        <v>250</v>
      </c>
      <c r="K340" s="11">
        <f>Table213[[#This Row],[Fraud]]/Table213[[#This Row],[Grand Total]]</f>
        <v>0</v>
      </c>
    </row>
    <row r="341" spans="7:11" ht="15" customHeight="1" x14ac:dyDescent="0.25">
      <c r="G341" s="7">
        <v>266</v>
      </c>
      <c r="H341" s="7">
        <v>19</v>
      </c>
      <c r="I341" s="7"/>
      <c r="J341" s="7">
        <v>19</v>
      </c>
      <c r="K341" s="11">
        <f>Table213[[#This Row],[Fraud]]/Table213[[#This Row],[Grand Total]]</f>
        <v>0</v>
      </c>
    </row>
    <row r="342" spans="7:11" ht="15" customHeight="1" x14ac:dyDescent="0.25">
      <c r="G342" s="7">
        <v>267</v>
      </c>
      <c r="H342" s="7">
        <v>3</v>
      </c>
      <c r="I342" s="7"/>
      <c r="J342" s="7">
        <v>3</v>
      </c>
      <c r="K342" s="11">
        <f>Table213[[#This Row],[Fraud]]/Table213[[#This Row],[Grand Total]]</f>
        <v>0</v>
      </c>
    </row>
    <row r="343" spans="7:11" ht="15" customHeight="1" x14ac:dyDescent="0.25">
      <c r="G343" s="7">
        <v>274</v>
      </c>
      <c r="H343" s="7">
        <v>597</v>
      </c>
      <c r="I343" s="7"/>
      <c r="J343" s="7">
        <v>597</v>
      </c>
      <c r="K343" s="11">
        <f>Table213[[#This Row],[Fraud]]/Table213[[#This Row],[Grand Total]]</f>
        <v>0</v>
      </c>
    </row>
    <row r="344" spans="7:11" ht="15" customHeight="1" x14ac:dyDescent="0.25">
      <c r="G344" s="7">
        <v>275</v>
      </c>
      <c r="H344" s="7">
        <v>798</v>
      </c>
      <c r="I344" s="7"/>
      <c r="J344" s="7">
        <v>798</v>
      </c>
      <c r="K344" s="11">
        <f>Table213[[#This Row],[Fraud]]/Table213[[#This Row],[Grand Total]]</f>
        <v>0</v>
      </c>
    </row>
    <row r="345" spans="7:11" ht="15" customHeight="1" x14ac:dyDescent="0.25">
      <c r="G345" s="7">
        <v>276</v>
      </c>
      <c r="H345" s="7">
        <v>825</v>
      </c>
      <c r="I345" s="7"/>
      <c r="J345" s="7">
        <v>825</v>
      </c>
      <c r="K345" s="11">
        <f>Table213[[#This Row],[Fraud]]/Table213[[#This Row],[Grand Total]]</f>
        <v>0</v>
      </c>
    </row>
    <row r="346" spans="7:11" ht="15" customHeight="1" x14ac:dyDescent="0.25">
      <c r="G346" s="7">
        <v>277</v>
      </c>
      <c r="H346" s="7">
        <v>838</v>
      </c>
      <c r="I346" s="7"/>
      <c r="J346" s="7">
        <v>838</v>
      </c>
      <c r="K346" s="11">
        <f>Table213[[#This Row],[Fraud]]/Table213[[#This Row],[Grand Total]]</f>
        <v>0</v>
      </c>
    </row>
    <row r="347" spans="7:11" ht="15" customHeight="1" x14ac:dyDescent="0.25">
      <c r="G347" s="7">
        <v>279</v>
      </c>
      <c r="H347" s="7">
        <v>801</v>
      </c>
      <c r="I347" s="7"/>
      <c r="J347" s="7">
        <v>801</v>
      </c>
      <c r="K347" s="11">
        <f>Table213[[#This Row],[Fraud]]/Table213[[#This Row],[Grand Total]]</f>
        <v>0</v>
      </c>
    </row>
    <row r="348" spans="7:11" ht="15" customHeight="1" x14ac:dyDescent="0.25">
      <c r="G348" s="7">
        <v>280</v>
      </c>
      <c r="H348" s="7">
        <v>831</v>
      </c>
      <c r="I348" s="7"/>
      <c r="J348" s="7">
        <v>831</v>
      </c>
      <c r="K348" s="11">
        <f>Table213[[#This Row],[Fraud]]/Table213[[#This Row],[Grand Total]]</f>
        <v>0</v>
      </c>
    </row>
    <row r="349" spans="7:11" ht="15" customHeight="1" x14ac:dyDescent="0.25">
      <c r="G349" s="7">
        <v>283</v>
      </c>
      <c r="H349" s="7">
        <v>1124</v>
      </c>
      <c r="I349" s="7"/>
      <c r="J349" s="7">
        <v>1124</v>
      </c>
      <c r="K349" s="11">
        <f>Table213[[#This Row],[Fraud]]/Table213[[#This Row],[Grand Total]]</f>
        <v>0</v>
      </c>
    </row>
    <row r="350" spans="7:11" ht="15" customHeight="1" x14ac:dyDescent="0.25">
      <c r="G350" s="7">
        <v>285</v>
      </c>
      <c r="H350" s="7">
        <v>437</v>
      </c>
      <c r="I350" s="7"/>
      <c r="J350" s="7">
        <v>437</v>
      </c>
      <c r="K350" s="11">
        <f>Table213[[#This Row],[Fraud]]/Table213[[#This Row],[Grand Total]]</f>
        <v>0</v>
      </c>
    </row>
    <row r="351" spans="7:11" ht="15" customHeight="1" x14ac:dyDescent="0.25">
      <c r="G351" s="7">
        <v>286</v>
      </c>
      <c r="H351" s="7">
        <v>377</v>
      </c>
      <c r="I351" s="7"/>
      <c r="J351" s="7">
        <v>377</v>
      </c>
      <c r="K351" s="11">
        <f>Table213[[#This Row],[Fraud]]/Table213[[#This Row],[Grand Total]]</f>
        <v>0</v>
      </c>
    </row>
    <row r="352" spans="7:11" ht="15" customHeight="1" x14ac:dyDescent="0.25">
      <c r="G352" s="7">
        <v>287</v>
      </c>
      <c r="H352" s="7">
        <v>254</v>
      </c>
      <c r="I352" s="7"/>
      <c r="J352" s="7">
        <v>254</v>
      </c>
      <c r="K352" s="11">
        <f>Table213[[#This Row],[Fraud]]/Table213[[#This Row],[Grand Total]]</f>
        <v>0</v>
      </c>
    </row>
    <row r="353" spans="7:11" ht="15" customHeight="1" x14ac:dyDescent="0.25">
      <c r="G353" s="7">
        <v>288</v>
      </c>
      <c r="H353" s="7">
        <v>127</v>
      </c>
      <c r="I353" s="7"/>
      <c r="J353" s="7">
        <v>127</v>
      </c>
      <c r="K353" s="11">
        <f>Table213[[#This Row],[Fraud]]/Table213[[#This Row],[Grand Total]]</f>
        <v>0</v>
      </c>
    </row>
    <row r="354" spans="7:11" ht="15" customHeight="1" x14ac:dyDescent="0.25">
      <c r="G354" s="7">
        <v>289</v>
      </c>
      <c r="H354" s="7">
        <v>42</v>
      </c>
      <c r="I354" s="7"/>
      <c r="J354" s="7">
        <v>42</v>
      </c>
      <c r="K354" s="11">
        <f>Table213[[#This Row],[Fraud]]/Table213[[#This Row],[Grand Total]]</f>
        <v>0</v>
      </c>
    </row>
    <row r="355" spans="7:11" ht="15" customHeight="1" x14ac:dyDescent="0.25">
      <c r="G355" s="7">
        <v>290</v>
      </c>
      <c r="H355" s="7">
        <v>15</v>
      </c>
      <c r="I355" s="7"/>
      <c r="J355" s="7">
        <v>15</v>
      </c>
      <c r="K355" s="11">
        <f>Table213[[#This Row],[Fraud]]/Table213[[#This Row],[Grand Total]]</f>
        <v>0</v>
      </c>
    </row>
    <row r="356" spans="7:11" ht="15" customHeight="1" x14ac:dyDescent="0.25">
      <c r="G356" s="7">
        <v>297</v>
      </c>
      <c r="H356" s="7">
        <v>635</v>
      </c>
      <c r="I356" s="7"/>
      <c r="J356" s="7">
        <v>635</v>
      </c>
      <c r="K356" s="11">
        <f>Table213[[#This Row],[Fraud]]/Table213[[#This Row],[Grand Total]]</f>
        <v>0</v>
      </c>
    </row>
    <row r="357" spans="7:11" ht="15" customHeight="1" x14ac:dyDescent="0.25">
      <c r="G357" s="7">
        <v>298</v>
      </c>
      <c r="H357" s="7">
        <v>944</v>
      </c>
      <c r="I357" s="7"/>
      <c r="J357" s="7">
        <v>944</v>
      </c>
      <c r="K357" s="11">
        <f>Table213[[#This Row],[Fraud]]/Table213[[#This Row],[Grand Total]]</f>
        <v>0</v>
      </c>
    </row>
    <row r="358" spans="7:11" ht="15" customHeight="1" x14ac:dyDescent="0.25">
      <c r="G358" s="7">
        <v>300</v>
      </c>
      <c r="H358" s="7">
        <v>998</v>
      </c>
      <c r="I358" s="7"/>
      <c r="J358" s="7">
        <v>998</v>
      </c>
      <c r="K358" s="11">
        <f>Table213[[#This Row],[Fraud]]/Table213[[#This Row],[Grand Total]]</f>
        <v>0</v>
      </c>
    </row>
    <row r="359" spans="7:11" ht="15" customHeight="1" x14ac:dyDescent="0.25">
      <c r="G359" s="7">
        <v>301</v>
      </c>
      <c r="H359" s="7">
        <v>971</v>
      </c>
      <c r="I359" s="7"/>
      <c r="J359" s="7">
        <v>971</v>
      </c>
      <c r="K359" s="11">
        <f>Table213[[#This Row],[Fraud]]/Table213[[#This Row],[Grand Total]]</f>
        <v>0</v>
      </c>
    </row>
    <row r="360" spans="7:11" ht="15" customHeight="1" x14ac:dyDescent="0.25">
      <c r="G360" s="7">
        <v>302</v>
      </c>
      <c r="H360" s="7">
        <v>981</v>
      </c>
      <c r="I360" s="7"/>
      <c r="J360" s="7">
        <v>981</v>
      </c>
      <c r="K360" s="11">
        <f>Table213[[#This Row],[Fraud]]/Table213[[#This Row],[Grand Total]]</f>
        <v>0</v>
      </c>
    </row>
    <row r="361" spans="7:11" ht="15" customHeight="1" x14ac:dyDescent="0.25">
      <c r="G361" s="7">
        <v>303</v>
      </c>
      <c r="H361" s="7">
        <v>775</v>
      </c>
      <c r="I361" s="7"/>
      <c r="J361" s="7">
        <v>775</v>
      </c>
      <c r="K361" s="11">
        <f>Table213[[#This Row],[Fraud]]/Table213[[#This Row],[Grand Total]]</f>
        <v>0</v>
      </c>
    </row>
    <row r="362" spans="7:11" ht="15" customHeight="1" x14ac:dyDescent="0.25">
      <c r="G362" s="7">
        <v>304</v>
      </c>
      <c r="H362" s="7">
        <v>826</v>
      </c>
      <c r="I362" s="7"/>
      <c r="J362" s="7">
        <v>826</v>
      </c>
      <c r="K362" s="11">
        <f>Table213[[#This Row],[Fraud]]/Table213[[#This Row],[Grand Total]]</f>
        <v>0</v>
      </c>
    </row>
    <row r="363" spans="7:11" ht="15" customHeight="1" x14ac:dyDescent="0.25">
      <c r="G363" s="7">
        <v>306</v>
      </c>
      <c r="H363" s="7">
        <v>1330</v>
      </c>
      <c r="I363" s="7"/>
      <c r="J363" s="7">
        <v>1330</v>
      </c>
      <c r="K363" s="11">
        <f>Table213[[#This Row],[Fraud]]/Table213[[#This Row],[Grand Total]]</f>
        <v>0</v>
      </c>
    </row>
    <row r="364" spans="7:11" ht="15" customHeight="1" x14ac:dyDescent="0.25">
      <c r="G364" s="7">
        <v>307</v>
      </c>
      <c r="H364" s="7">
        <v>1470</v>
      </c>
      <c r="I364" s="7"/>
      <c r="J364" s="7">
        <v>1470</v>
      </c>
      <c r="K364" s="11">
        <f>Table213[[#This Row],[Fraud]]/Table213[[#This Row],[Grand Total]]</f>
        <v>0</v>
      </c>
    </row>
    <row r="365" spans="7:11" ht="15" customHeight="1" x14ac:dyDescent="0.25">
      <c r="G365" s="7">
        <v>308</v>
      </c>
      <c r="H365" s="7">
        <v>1170</v>
      </c>
      <c r="I365" s="7"/>
      <c r="J365" s="7">
        <v>1170</v>
      </c>
      <c r="K365" s="11">
        <f>Table213[[#This Row],[Fraud]]/Table213[[#This Row],[Grand Total]]</f>
        <v>0</v>
      </c>
    </row>
    <row r="366" spans="7:11" ht="15" customHeight="1" x14ac:dyDescent="0.25">
      <c r="G366" s="7">
        <v>309</v>
      </c>
      <c r="H366" s="7">
        <v>479</v>
      </c>
      <c r="I366" s="7"/>
      <c r="J366" s="7">
        <v>479</v>
      </c>
      <c r="K366" s="11">
        <f>Table213[[#This Row],[Fraud]]/Table213[[#This Row],[Grand Total]]</f>
        <v>0</v>
      </c>
    </row>
    <row r="367" spans="7:11" ht="15" customHeight="1" x14ac:dyDescent="0.25">
      <c r="G367" s="7">
        <v>311</v>
      </c>
      <c r="H367" s="7">
        <v>301</v>
      </c>
      <c r="I367" s="7"/>
      <c r="J367" s="7">
        <v>301</v>
      </c>
      <c r="K367" s="11">
        <f>Table213[[#This Row],[Fraud]]/Table213[[#This Row],[Grand Total]]</f>
        <v>0</v>
      </c>
    </row>
    <row r="368" spans="7:11" ht="15" customHeight="1" x14ac:dyDescent="0.25">
      <c r="G368" s="7">
        <v>313</v>
      </c>
      <c r="H368" s="7">
        <v>44</v>
      </c>
      <c r="I368" s="7"/>
      <c r="J368" s="7">
        <v>44</v>
      </c>
      <c r="K368" s="11">
        <f>Table213[[#This Row],[Fraud]]/Table213[[#This Row],[Grand Total]]</f>
        <v>0</v>
      </c>
    </row>
    <row r="369" spans="7:11" ht="15" customHeight="1" x14ac:dyDescent="0.25">
      <c r="G369" s="7">
        <v>314</v>
      </c>
      <c r="H369" s="7">
        <v>12</v>
      </c>
      <c r="I369" s="7"/>
      <c r="J369" s="7">
        <v>12</v>
      </c>
      <c r="K369" s="11">
        <f>Table213[[#This Row],[Fraud]]/Table213[[#This Row],[Grand Total]]</f>
        <v>0</v>
      </c>
    </row>
    <row r="370" spans="7:11" ht="15" customHeight="1" x14ac:dyDescent="0.25">
      <c r="G370" s="7">
        <v>321</v>
      </c>
      <c r="H370" s="7">
        <v>567</v>
      </c>
      <c r="I370" s="7"/>
      <c r="J370" s="7">
        <v>567</v>
      </c>
      <c r="K370" s="11">
        <f>Table213[[#This Row],[Fraud]]/Table213[[#This Row],[Grand Total]]</f>
        <v>0</v>
      </c>
    </row>
    <row r="371" spans="7:11" ht="15" customHeight="1" x14ac:dyDescent="0.25">
      <c r="G371" s="7">
        <v>325</v>
      </c>
      <c r="H371" s="7">
        <v>862</v>
      </c>
      <c r="I371" s="7"/>
      <c r="J371" s="7">
        <v>862</v>
      </c>
      <c r="K371" s="11">
        <f>Table213[[#This Row],[Fraud]]/Table213[[#This Row],[Grand Total]]</f>
        <v>0</v>
      </c>
    </row>
    <row r="372" spans="7:11" ht="15" customHeight="1" x14ac:dyDescent="0.25">
      <c r="G372" s="7">
        <v>326</v>
      </c>
      <c r="H372" s="7">
        <v>853</v>
      </c>
      <c r="I372" s="7"/>
      <c r="J372" s="7">
        <v>853</v>
      </c>
      <c r="K372" s="11">
        <f>Table213[[#This Row],[Fraud]]/Table213[[#This Row],[Grand Total]]</f>
        <v>0</v>
      </c>
    </row>
    <row r="373" spans="7:11" ht="15" customHeight="1" x14ac:dyDescent="0.25">
      <c r="G373" s="7">
        <v>328</v>
      </c>
      <c r="H373" s="7">
        <v>841</v>
      </c>
      <c r="I373" s="7"/>
      <c r="J373" s="7">
        <v>841</v>
      </c>
      <c r="K373" s="11">
        <f>Table213[[#This Row],[Fraud]]/Table213[[#This Row],[Grand Total]]</f>
        <v>0</v>
      </c>
    </row>
    <row r="374" spans="7:11" ht="15" customHeight="1" x14ac:dyDescent="0.25">
      <c r="G374" s="7">
        <v>329</v>
      </c>
      <c r="H374" s="7">
        <v>1034</v>
      </c>
      <c r="I374" s="7"/>
      <c r="J374" s="7">
        <v>1034</v>
      </c>
      <c r="K374" s="11">
        <f>Table213[[#This Row],[Fraud]]/Table213[[#This Row],[Grand Total]]</f>
        <v>0</v>
      </c>
    </row>
    <row r="375" spans="7:11" ht="15" customHeight="1" x14ac:dyDescent="0.25">
      <c r="G375" s="7">
        <v>330</v>
      </c>
      <c r="H375" s="7">
        <v>1140</v>
      </c>
      <c r="I375" s="7"/>
      <c r="J375" s="7">
        <v>1140</v>
      </c>
      <c r="K375" s="11">
        <f>Table213[[#This Row],[Fraud]]/Table213[[#This Row],[Grand Total]]</f>
        <v>0</v>
      </c>
    </row>
    <row r="376" spans="7:11" ht="15" customHeight="1" x14ac:dyDescent="0.25">
      <c r="G376" s="7">
        <v>331</v>
      </c>
      <c r="H376" s="7">
        <v>1206</v>
      </c>
      <c r="I376" s="7"/>
      <c r="J376" s="7">
        <v>1206</v>
      </c>
      <c r="K376" s="11">
        <f>Table213[[#This Row],[Fraud]]/Table213[[#This Row],[Grand Total]]</f>
        <v>0</v>
      </c>
    </row>
    <row r="377" spans="7:11" ht="15" customHeight="1" x14ac:dyDescent="0.25">
      <c r="G377" s="7">
        <v>333</v>
      </c>
      <c r="H377" s="7">
        <v>462</v>
      </c>
      <c r="I377" s="7"/>
      <c r="J377" s="7">
        <v>462</v>
      </c>
      <c r="K377" s="11">
        <f>Table213[[#This Row],[Fraud]]/Table213[[#This Row],[Grand Total]]</f>
        <v>0</v>
      </c>
    </row>
    <row r="378" spans="7:11" ht="15" customHeight="1" x14ac:dyDescent="0.25">
      <c r="G378" s="7">
        <v>334</v>
      </c>
      <c r="H378" s="7">
        <v>378</v>
      </c>
      <c r="I378" s="7"/>
      <c r="J378" s="7">
        <v>378</v>
      </c>
      <c r="K378" s="11">
        <f>Table213[[#This Row],[Fraud]]/Table213[[#This Row],[Grand Total]]</f>
        <v>0</v>
      </c>
    </row>
    <row r="379" spans="7:11" ht="15" customHeight="1" x14ac:dyDescent="0.25">
      <c r="G379" s="7">
        <v>335</v>
      </c>
      <c r="H379" s="7">
        <v>326</v>
      </c>
      <c r="I379" s="7"/>
      <c r="J379" s="7">
        <v>326</v>
      </c>
      <c r="K379" s="11">
        <f>Table213[[#This Row],[Fraud]]/Table213[[#This Row],[Grand Total]]</f>
        <v>0</v>
      </c>
    </row>
    <row r="380" spans="7:11" ht="15" customHeight="1" x14ac:dyDescent="0.25">
      <c r="G380" s="7">
        <v>337</v>
      </c>
      <c r="H380" s="7">
        <v>6</v>
      </c>
      <c r="I380" s="7"/>
      <c r="J380" s="7">
        <v>6</v>
      </c>
      <c r="K380" s="11">
        <f>Table213[[#This Row],[Fraud]]/Table213[[#This Row],[Grand Total]]</f>
        <v>0</v>
      </c>
    </row>
    <row r="381" spans="7:11" ht="15" customHeight="1" x14ac:dyDescent="0.25">
      <c r="G381" s="7">
        <v>338</v>
      </c>
      <c r="H381" s="7">
        <v>12</v>
      </c>
      <c r="I381" s="7"/>
      <c r="J381" s="7">
        <v>12</v>
      </c>
      <c r="K381" s="11">
        <f>Table213[[#This Row],[Fraud]]/Table213[[#This Row],[Grand Total]]</f>
        <v>0</v>
      </c>
    </row>
    <row r="382" spans="7:11" ht="15" customHeight="1" x14ac:dyDescent="0.25">
      <c r="G382" s="7">
        <v>346</v>
      </c>
      <c r="H382" s="7">
        <v>840</v>
      </c>
      <c r="I382" s="7"/>
      <c r="J382" s="7">
        <v>840</v>
      </c>
      <c r="K382" s="11">
        <f>Table213[[#This Row],[Fraud]]/Table213[[#This Row],[Grand Total]]</f>
        <v>0</v>
      </c>
    </row>
    <row r="383" spans="7:11" ht="15" customHeight="1" x14ac:dyDescent="0.25">
      <c r="G383" s="7">
        <v>347</v>
      </c>
      <c r="H383" s="7">
        <v>982</v>
      </c>
      <c r="I383" s="7"/>
      <c r="J383" s="7">
        <v>982</v>
      </c>
      <c r="K383" s="11">
        <f>Table213[[#This Row],[Fraud]]/Table213[[#This Row],[Grand Total]]</f>
        <v>0</v>
      </c>
    </row>
    <row r="384" spans="7:11" ht="15" customHeight="1" x14ac:dyDescent="0.25">
      <c r="G384" s="7">
        <v>348</v>
      </c>
      <c r="H384" s="7">
        <v>935</v>
      </c>
      <c r="I384" s="7"/>
      <c r="J384" s="7">
        <v>935</v>
      </c>
      <c r="K384" s="11">
        <f>Table213[[#This Row],[Fraud]]/Table213[[#This Row],[Grand Total]]</f>
        <v>0</v>
      </c>
    </row>
    <row r="385" spans="7:11" ht="15" customHeight="1" x14ac:dyDescent="0.25">
      <c r="G385" s="7">
        <v>350</v>
      </c>
      <c r="H385" s="7">
        <v>883</v>
      </c>
      <c r="I385" s="7"/>
      <c r="J385" s="7">
        <v>883</v>
      </c>
      <c r="K385" s="11">
        <f>Table213[[#This Row],[Fraud]]/Table213[[#This Row],[Grand Total]]</f>
        <v>0</v>
      </c>
    </row>
    <row r="386" spans="7:11" ht="15" customHeight="1" x14ac:dyDescent="0.25">
      <c r="G386" s="7">
        <v>351</v>
      </c>
      <c r="H386" s="7">
        <v>841</v>
      </c>
      <c r="I386" s="7"/>
      <c r="J386" s="7">
        <v>841</v>
      </c>
      <c r="K386" s="11">
        <f>Table213[[#This Row],[Fraud]]/Table213[[#This Row],[Grand Total]]</f>
        <v>0</v>
      </c>
    </row>
    <row r="387" spans="7:11" ht="15" customHeight="1" x14ac:dyDescent="0.25">
      <c r="G387" s="7">
        <v>353</v>
      </c>
      <c r="H387" s="7">
        <v>936</v>
      </c>
      <c r="I387" s="7"/>
      <c r="J387" s="7">
        <v>936</v>
      </c>
      <c r="K387" s="11">
        <f>Table213[[#This Row],[Fraud]]/Table213[[#This Row],[Grand Total]]</f>
        <v>0</v>
      </c>
    </row>
    <row r="388" spans="7:11" ht="15" customHeight="1" x14ac:dyDescent="0.25">
      <c r="G388" s="7">
        <v>354</v>
      </c>
      <c r="H388" s="7">
        <v>1350</v>
      </c>
      <c r="I388" s="7"/>
      <c r="J388" s="7">
        <v>1350</v>
      </c>
      <c r="K388" s="11">
        <f>Table213[[#This Row],[Fraud]]/Table213[[#This Row],[Grand Total]]</f>
        <v>0</v>
      </c>
    </row>
    <row r="389" spans="7:11" ht="15" customHeight="1" x14ac:dyDescent="0.25">
      <c r="G389" s="7">
        <v>355</v>
      </c>
      <c r="H389" s="7">
        <v>1380</v>
      </c>
      <c r="I389" s="7"/>
      <c r="J389" s="7">
        <v>1380</v>
      </c>
      <c r="K389" s="11">
        <f>Table213[[#This Row],[Fraud]]/Table213[[#This Row],[Grand Total]]</f>
        <v>0</v>
      </c>
    </row>
    <row r="390" spans="7:11" ht="15" customHeight="1" x14ac:dyDescent="0.25">
      <c r="G390" s="7">
        <v>357</v>
      </c>
      <c r="H390" s="7">
        <v>467</v>
      </c>
      <c r="I390" s="7"/>
      <c r="J390" s="7">
        <v>467</v>
      </c>
      <c r="K390" s="11">
        <f>Table213[[#This Row],[Fraud]]/Table213[[#This Row],[Grand Total]]</f>
        <v>0</v>
      </c>
    </row>
    <row r="391" spans="7:11" ht="15" customHeight="1" x14ac:dyDescent="0.25">
      <c r="G391" s="7">
        <v>358</v>
      </c>
      <c r="H391" s="7">
        <v>333</v>
      </c>
      <c r="I391" s="7"/>
      <c r="J391" s="7">
        <v>333</v>
      </c>
      <c r="K391" s="11">
        <f>Table213[[#This Row],[Fraud]]/Table213[[#This Row],[Grand Total]]</f>
        <v>0</v>
      </c>
    </row>
    <row r="392" spans="7:11" ht="15" customHeight="1" x14ac:dyDescent="0.25">
      <c r="G392" s="7">
        <v>360</v>
      </c>
      <c r="H392" s="7">
        <v>144</v>
      </c>
      <c r="I392" s="7"/>
      <c r="J392" s="7">
        <v>144</v>
      </c>
      <c r="K392" s="11">
        <f>Table213[[#This Row],[Fraud]]/Table213[[#This Row],[Grand Total]]</f>
        <v>0</v>
      </c>
    </row>
    <row r="393" spans="7:11" ht="15" customHeight="1" x14ac:dyDescent="0.25">
      <c r="G393" s="7">
        <v>361</v>
      </c>
      <c r="H393" s="7">
        <v>34</v>
      </c>
      <c r="I393" s="7"/>
      <c r="J393" s="7">
        <v>34</v>
      </c>
      <c r="K393" s="11">
        <f>Table213[[#This Row],[Fraud]]/Table213[[#This Row],[Grand Total]]</f>
        <v>0</v>
      </c>
    </row>
    <row r="394" spans="7:11" ht="15" customHeight="1" x14ac:dyDescent="0.25">
      <c r="G394" s="7">
        <v>369</v>
      </c>
      <c r="H394" s="7">
        <v>449</v>
      </c>
      <c r="I394" s="7"/>
      <c r="J394" s="7">
        <v>449</v>
      </c>
      <c r="K394" s="11">
        <f>Table213[[#This Row],[Fraud]]/Table213[[#This Row],[Grand Total]]</f>
        <v>0</v>
      </c>
    </row>
    <row r="395" spans="7:11" ht="15" customHeight="1" x14ac:dyDescent="0.25">
      <c r="G395" s="7">
        <v>370</v>
      </c>
      <c r="H395" s="7">
        <v>824</v>
      </c>
      <c r="I395" s="7"/>
      <c r="J395" s="7">
        <v>824</v>
      </c>
      <c r="K395" s="11">
        <f>Table213[[#This Row],[Fraud]]/Table213[[#This Row],[Grand Total]]</f>
        <v>0</v>
      </c>
    </row>
    <row r="396" spans="7:11" ht="15" customHeight="1" x14ac:dyDescent="0.25">
      <c r="G396" s="7">
        <v>371</v>
      </c>
      <c r="H396" s="7">
        <v>851</v>
      </c>
      <c r="I396" s="7"/>
      <c r="J396" s="7">
        <v>851</v>
      </c>
      <c r="K396" s="11">
        <f>Table213[[#This Row],[Fraud]]/Table213[[#This Row],[Grand Total]]</f>
        <v>0</v>
      </c>
    </row>
    <row r="397" spans="7:11" ht="15" customHeight="1" x14ac:dyDescent="0.25">
      <c r="G397" s="7">
        <v>372</v>
      </c>
      <c r="H397" s="7">
        <v>912</v>
      </c>
      <c r="I397" s="7"/>
      <c r="J397" s="7">
        <v>912</v>
      </c>
      <c r="K397" s="11">
        <f>Table213[[#This Row],[Fraud]]/Table213[[#This Row],[Grand Total]]</f>
        <v>0</v>
      </c>
    </row>
    <row r="398" spans="7:11" ht="15" customHeight="1" x14ac:dyDescent="0.25">
      <c r="G398" s="7">
        <v>373</v>
      </c>
      <c r="H398" s="7">
        <v>919</v>
      </c>
      <c r="I398" s="7"/>
      <c r="J398" s="7">
        <v>919</v>
      </c>
      <c r="K398" s="11">
        <f>Table213[[#This Row],[Fraud]]/Table213[[#This Row],[Grand Total]]</f>
        <v>0</v>
      </c>
    </row>
    <row r="399" spans="7:11" ht="15" customHeight="1" x14ac:dyDescent="0.25">
      <c r="G399" s="7">
        <v>375</v>
      </c>
      <c r="H399" s="7">
        <v>825</v>
      </c>
      <c r="I399" s="7"/>
      <c r="J399" s="7">
        <v>825</v>
      </c>
      <c r="K399" s="11">
        <f>Table213[[#This Row],[Fraud]]/Table213[[#This Row],[Grand Total]]</f>
        <v>0</v>
      </c>
    </row>
    <row r="400" spans="7:11" ht="15" customHeight="1" x14ac:dyDescent="0.25">
      <c r="G400" s="7">
        <v>377</v>
      </c>
      <c r="H400" s="7">
        <v>582</v>
      </c>
      <c r="I400" s="7"/>
      <c r="J400" s="7">
        <v>582</v>
      </c>
      <c r="K400" s="11">
        <f>Table213[[#This Row],[Fraud]]/Table213[[#This Row],[Grand Total]]</f>
        <v>0</v>
      </c>
    </row>
    <row r="401" spans="7:11" ht="15" customHeight="1" x14ac:dyDescent="0.25">
      <c r="G401" s="7">
        <v>378</v>
      </c>
      <c r="H401" s="7">
        <v>1062</v>
      </c>
      <c r="I401" s="7"/>
      <c r="J401" s="7">
        <v>1062</v>
      </c>
      <c r="K401" s="11">
        <f>Table213[[#This Row],[Fraud]]/Table213[[#This Row],[Grand Total]]</f>
        <v>0</v>
      </c>
    </row>
    <row r="402" spans="7:11" ht="15" customHeight="1" x14ac:dyDescent="0.25">
      <c r="G402" s="7">
        <v>379</v>
      </c>
      <c r="H402" s="7">
        <v>1326</v>
      </c>
      <c r="I402" s="7"/>
      <c r="J402" s="7">
        <v>1326</v>
      </c>
      <c r="K402" s="11">
        <f>Table213[[#This Row],[Fraud]]/Table213[[#This Row],[Grand Total]]</f>
        <v>0</v>
      </c>
    </row>
    <row r="403" spans="7:11" ht="15" customHeight="1" x14ac:dyDescent="0.25">
      <c r="G403" s="7">
        <v>381</v>
      </c>
      <c r="H403" s="7">
        <v>465</v>
      </c>
      <c r="I403" s="7"/>
      <c r="J403" s="7">
        <v>465</v>
      </c>
      <c r="K403" s="11">
        <f>Table213[[#This Row],[Fraud]]/Table213[[#This Row],[Grand Total]]</f>
        <v>0</v>
      </c>
    </row>
    <row r="404" spans="7:11" ht="15" customHeight="1" x14ac:dyDescent="0.25">
      <c r="G404" s="7">
        <v>385</v>
      </c>
      <c r="H404" s="7">
        <v>51</v>
      </c>
      <c r="I404" s="7"/>
      <c r="J404" s="7">
        <v>51</v>
      </c>
      <c r="K404" s="11">
        <f>Table213[[#This Row],[Fraud]]/Table213[[#This Row],[Grand Total]]</f>
        <v>0</v>
      </c>
    </row>
    <row r="405" spans="7:11" ht="15" customHeight="1" x14ac:dyDescent="0.25">
      <c r="G405" s="7">
        <v>386</v>
      </c>
      <c r="H405" s="7">
        <v>19</v>
      </c>
      <c r="I405" s="7"/>
      <c r="J405" s="7">
        <v>19</v>
      </c>
      <c r="K405" s="11">
        <f>Table213[[#This Row],[Fraud]]/Table213[[#This Row],[Grand Total]]</f>
        <v>0</v>
      </c>
    </row>
    <row r="406" spans="7:11" ht="15" customHeight="1" x14ac:dyDescent="0.25">
      <c r="G406" s="7">
        <v>393</v>
      </c>
      <c r="H406" s="7">
        <v>611</v>
      </c>
      <c r="I406" s="7"/>
      <c r="J406" s="7">
        <v>611</v>
      </c>
      <c r="K406" s="11">
        <f>Table213[[#This Row],[Fraud]]/Table213[[#This Row],[Grand Total]]</f>
        <v>0</v>
      </c>
    </row>
    <row r="407" spans="7:11" ht="15" customHeight="1" x14ac:dyDescent="0.25">
      <c r="G407" s="7">
        <v>394</v>
      </c>
      <c r="H407" s="7">
        <v>909</v>
      </c>
      <c r="I407" s="7"/>
      <c r="J407" s="7">
        <v>909</v>
      </c>
      <c r="K407" s="11">
        <f>Table213[[#This Row],[Fraud]]/Table213[[#This Row],[Grand Total]]</f>
        <v>0</v>
      </c>
    </row>
    <row r="408" spans="7:11" ht="15" customHeight="1" x14ac:dyDescent="0.25">
      <c r="G408" s="7">
        <v>395</v>
      </c>
      <c r="H408" s="7">
        <v>702</v>
      </c>
      <c r="I408" s="7"/>
      <c r="J408" s="7">
        <v>702</v>
      </c>
      <c r="K408" s="11">
        <f>Table213[[#This Row],[Fraud]]/Table213[[#This Row],[Grand Total]]</f>
        <v>0</v>
      </c>
    </row>
    <row r="409" spans="7:11" ht="15" customHeight="1" x14ac:dyDescent="0.25">
      <c r="G409" s="7">
        <v>396</v>
      </c>
      <c r="H409" s="7">
        <v>1069</v>
      </c>
      <c r="I409" s="7"/>
      <c r="J409" s="7">
        <v>1069</v>
      </c>
      <c r="K409" s="11">
        <f>Table213[[#This Row],[Fraud]]/Table213[[#This Row],[Grand Total]]</f>
        <v>0</v>
      </c>
    </row>
    <row r="410" spans="7:11" ht="15" customHeight="1" x14ac:dyDescent="0.25">
      <c r="G410" s="7">
        <v>399</v>
      </c>
      <c r="H410" s="7">
        <v>977</v>
      </c>
      <c r="I410" s="7"/>
      <c r="J410" s="7">
        <v>977</v>
      </c>
      <c r="K410" s="11">
        <f>Table213[[#This Row],[Fraud]]/Table213[[#This Row],[Grand Total]]</f>
        <v>0</v>
      </c>
    </row>
    <row r="411" spans="7:11" ht="15" customHeight="1" x14ac:dyDescent="0.25">
      <c r="G411" s="7">
        <v>402</v>
      </c>
      <c r="H411" s="7">
        <v>1271</v>
      </c>
      <c r="I411" s="7"/>
      <c r="J411" s="7">
        <v>1271</v>
      </c>
      <c r="K411" s="11">
        <f>Table213[[#This Row],[Fraud]]/Table213[[#This Row],[Grand Total]]</f>
        <v>0</v>
      </c>
    </row>
    <row r="412" spans="7:11" ht="15" customHeight="1" x14ac:dyDescent="0.25">
      <c r="G412" s="7">
        <v>404</v>
      </c>
      <c r="H412" s="7">
        <v>1111</v>
      </c>
      <c r="I412" s="7"/>
      <c r="J412" s="7">
        <v>1111</v>
      </c>
      <c r="K412" s="11">
        <f>Table213[[#This Row],[Fraud]]/Table213[[#This Row],[Grand Total]]</f>
        <v>0</v>
      </c>
    </row>
    <row r="413" spans="7:11" ht="15" customHeight="1" x14ac:dyDescent="0.25">
      <c r="G413" s="7">
        <v>407</v>
      </c>
      <c r="H413" s="7">
        <v>234</v>
      </c>
      <c r="I413" s="7"/>
      <c r="J413" s="7">
        <v>234</v>
      </c>
      <c r="K413" s="11">
        <f>Table213[[#This Row],[Fraud]]/Table213[[#This Row],[Grand Total]]</f>
        <v>0</v>
      </c>
    </row>
    <row r="414" spans="7:11" ht="15" customHeight="1" x14ac:dyDescent="0.25">
      <c r="G414" s="7">
        <v>408</v>
      </c>
      <c r="H414" s="7">
        <v>246</v>
      </c>
      <c r="I414" s="7"/>
      <c r="J414" s="7">
        <v>246</v>
      </c>
      <c r="K414" s="11">
        <f>Table213[[#This Row],[Fraud]]/Table213[[#This Row],[Grand Total]]</f>
        <v>0</v>
      </c>
    </row>
    <row r="415" spans="7:11" ht="15" customHeight="1" x14ac:dyDescent="0.25">
      <c r="G415" s="7">
        <v>409</v>
      </c>
      <c r="H415" s="7">
        <v>18</v>
      </c>
      <c r="I415" s="7"/>
      <c r="J415" s="7">
        <v>18</v>
      </c>
      <c r="K415" s="11">
        <f>Table213[[#This Row],[Fraud]]/Table213[[#This Row],[Grand Total]]</f>
        <v>0</v>
      </c>
    </row>
    <row r="416" spans="7:11" ht="15" customHeight="1" x14ac:dyDescent="0.25">
      <c r="G416" s="7">
        <v>419</v>
      </c>
      <c r="H416" s="7">
        <v>34</v>
      </c>
      <c r="I416" s="7"/>
      <c r="J416" s="7">
        <v>34</v>
      </c>
      <c r="K416" s="11">
        <f>Table213[[#This Row],[Fraud]]/Table213[[#This Row],[Grand Total]]</f>
        <v>0</v>
      </c>
    </row>
    <row r="417" spans="7:11" ht="15" customHeight="1" x14ac:dyDescent="0.25">
      <c r="G417" s="7">
        <v>420</v>
      </c>
      <c r="H417" s="7">
        <v>73</v>
      </c>
      <c r="I417" s="7"/>
      <c r="J417" s="7">
        <v>73</v>
      </c>
      <c r="K417" s="11">
        <f>Table213[[#This Row],[Fraud]]/Table213[[#This Row],[Grand Total]]</f>
        <v>0</v>
      </c>
    </row>
    <row r="418" spans="7:11" ht="15" customHeight="1" x14ac:dyDescent="0.25">
      <c r="G418" s="7">
        <v>422</v>
      </c>
      <c r="H418" s="7">
        <v>46</v>
      </c>
      <c r="I418" s="7"/>
      <c r="J418" s="7">
        <v>46</v>
      </c>
      <c r="K418" s="11">
        <f>Table213[[#This Row],[Fraud]]/Table213[[#This Row],[Grand Total]]</f>
        <v>0</v>
      </c>
    </row>
    <row r="419" spans="7:11" ht="15" customHeight="1" x14ac:dyDescent="0.25">
      <c r="G419" s="7">
        <v>426</v>
      </c>
      <c r="H419" s="7">
        <v>153</v>
      </c>
      <c r="I419" s="7"/>
      <c r="J419" s="7">
        <v>153</v>
      </c>
      <c r="K419" s="11">
        <f>Table213[[#This Row],[Fraud]]/Table213[[#This Row],[Grand Total]]</f>
        <v>0</v>
      </c>
    </row>
    <row r="420" spans="7:11" ht="15" customHeight="1" x14ac:dyDescent="0.25">
      <c r="G420" s="7">
        <v>428</v>
      </c>
      <c r="H420" s="7">
        <v>103</v>
      </c>
      <c r="I420" s="7"/>
      <c r="J420" s="7">
        <v>103</v>
      </c>
      <c r="K420" s="11">
        <f>Table213[[#This Row],[Fraud]]/Table213[[#This Row],[Grand Total]]</f>
        <v>0</v>
      </c>
    </row>
    <row r="421" spans="7:11" ht="15" customHeight="1" x14ac:dyDescent="0.25">
      <c r="G421" s="7">
        <v>429</v>
      </c>
      <c r="H421" s="7">
        <v>66</v>
      </c>
      <c r="I421" s="7"/>
      <c r="J421" s="7">
        <v>66</v>
      </c>
      <c r="K421" s="11">
        <f>Table213[[#This Row],[Fraud]]/Table213[[#This Row],[Grand Total]]</f>
        <v>0</v>
      </c>
    </row>
    <row r="422" spans="7:11" ht="15" customHeight="1" x14ac:dyDescent="0.25">
      <c r="G422" s="7">
        <v>431</v>
      </c>
      <c r="H422" s="7">
        <v>43</v>
      </c>
      <c r="I422" s="7"/>
      <c r="J422" s="7">
        <v>43</v>
      </c>
      <c r="K422" s="11">
        <f>Table213[[#This Row],[Fraud]]/Table213[[#This Row],[Grand Total]]</f>
        <v>0</v>
      </c>
    </row>
    <row r="423" spans="7:11" ht="15" customHeight="1" x14ac:dyDescent="0.25">
      <c r="G423" s="7">
        <v>436</v>
      </c>
      <c r="H423" s="7">
        <v>6</v>
      </c>
      <c r="I423" s="7"/>
      <c r="J423" s="7">
        <v>6</v>
      </c>
      <c r="K423" s="11">
        <f>Table213[[#This Row],[Fraud]]/Table213[[#This Row],[Grand Total]]</f>
        <v>0</v>
      </c>
    </row>
    <row r="424" spans="7:11" ht="15" customHeight="1" x14ac:dyDescent="0.25">
      <c r="G424" s="7">
        <v>448</v>
      </c>
      <c r="H424" s="7">
        <v>81</v>
      </c>
      <c r="I424" s="7"/>
      <c r="J424" s="7">
        <v>81</v>
      </c>
      <c r="K424" s="11">
        <f>Table213[[#This Row],[Fraud]]/Table213[[#This Row],[Grand Total]]</f>
        <v>0</v>
      </c>
    </row>
    <row r="425" spans="7:11" ht="15" customHeight="1" x14ac:dyDescent="0.25">
      <c r="G425" s="7">
        <v>449</v>
      </c>
      <c r="H425" s="7">
        <v>29</v>
      </c>
      <c r="I425" s="7"/>
      <c r="J425" s="7">
        <v>29</v>
      </c>
      <c r="K425" s="11">
        <f>Table213[[#This Row],[Fraud]]/Table213[[#This Row],[Grand Total]]</f>
        <v>0</v>
      </c>
    </row>
    <row r="426" spans="7:11" ht="15" customHeight="1" x14ac:dyDescent="0.25">
      <c r="G426" s="7">
        <v>451</v>
      </c>
      <c r="H426" s="7">
        <v>119</v>
      </c>
      <c r="I426" s="7"/>
      <c r="J426" s="7">
        <v>119</v>
      </c>
      <c r="K426" s="11">
        <f>Table213[[#This Row],[Fraud]]/Table213[[#This Row],[Grand Total]]</f>
        <v>0</v>
      </c>
    </row>
    <row r="427" spans="7:11" ht="15" customHeight="1" x14ac:dyDescent="0.25">
      <c r="G427" s="7">
        <v>452</v>
      </c>
      <c r="H427" s="7">
        <v>10</v>
      </c>
      <c r="I427" s="7"/>
      <c r="J427" s="7">
        <v>10</v>
      </c>
      <c r="K427" s="11">
        <f>Table213[[#This Row],[Fraud]]/Table213[[#This Row],[Grand Total]]</f>
        <v>0</v>
      </c>
    </row>
    <row r="428" spans="7:11" ht="15" customHeight="1" x14ac:dyDescent="0.25">
      <c r="G428" s="7">
        <v>453</v>
      </c>
      <c r="H428" s="7">
        <v>2</v>
      </c>
      <c r="I428" s="7"/>
      <c r="J428" s="7">
        <v>2</v>
      </c>
      <c r="K428" s="11">
        <f>Table213[[#This Row],[Fraud]]/Table213[[#This Row],[Grand Total]]</f>
        <v>0</v>
      </c>
    </row>
    <row r="429" spans="7:11" ht="15" customHeight="1" x14ac:dyDescent="0.25">
      <c r="G429" s="7">
        <v>454</v>
      </c>
      <c r="H429" s="7">
        <v>1</v>
      </c>
      <c r="I429" s="7"/>
      <c r="J429" s="7">
        <v>1</v>
      </c>
      <c r="K429" s="11">
        <f>Table213[[#This Row],[Fraud]]/Table213[[#This Row],[Grand Total]]</f>
        <v>0</v>
      </c>
    </row>
    <row r="430" spans="7:11" ht="15" customHeight="1" x14ac:dyDescent="0.25">
      <c r="G430" s="7">
        <v>455</v>
      </c>
      <c r="H430" s="7">
        <v>23</v>
      </c>
      <c r="I430" s="7"/>
      <c r="J430" s="7">
        <v>23</v>
      </c>
      <c r="K430" s="11">
        <f>Table213[[#This Row],[Fraud]]/Table213[[#This Row],[Grand Total]]</f>
        <v>0</v>
      </c>
    </row>
    <row r="431" spans="7:11" ht="15" customHeight="1" x14ac:dyDescent="0.25">
      <c r="G431" s="7">
        <v>458</v>
      </c>
      <c r="H431" s="7">
        <v>9</v>
      </c>
      <c r="I431" s="7"/>
      <c r="J431" s="7">
        <v>9</v>
      </c>
      <c r="K431" s="11">
        <f>Table213[[#This Row],[Fraud]]/Table213[[#This Row],[Grand Total]]</f>
        <v>0</v>
      </c>
    </row>
    <row r="432" spans="7:11" ht="15" customHeight="1" x14ac:dyDescent="0.25">
      <c r="G432" s="7">
        <v>460</v>
      </c>
      <c r="H432" s="7">
        <v>1</v>
      </c>
      <c r="I432" s="7"/>
      <c r="J432" s="7">
        <v>1</v>
      </c>
      <c r="K432" s="11">
        <f>Table213[[#This Row],[Fraud]]/Table213[[#This Row],[Grand Total]]</f>
        <v>0</v>
      </c>
    </row>
    <row r="433" spans="7:11" ht="15" customHeight="1" x14ac:dyDescent="0.25">
      <c r="G433" s="7">
        <v>466</v>
      </c>
      <c r="H433" s="7">
        <v>28</v>
      </c>
      <c r="I433" s="7"/>
      <c r="J433" s="7">
        <v>28</v>
      </c>
      <c r="K433" s="11">
        <f>Table213[[#This Row],[Fraud]]/Table213[[#This Row],[Grand Total]]</f>
        <v>0</v>
      </c>
    </row>
    <row r="434" spans="7:11" ht="15" customHeight="1" x14ac:dyDescent="0.25">
      <c r="G434" s="7">
        <v>471</v>
      </c>
      <c r="H434" s="7">
        <v>90</v>
      </c>
      <c r="I434" s="7"/>
      <c r="J434" s="7">
        <v>90</v>
      </c>
      <c r="K434" s="11">
        <f>Table213[[#This Row],[Fraud]]/Table213[[#This Row],[Grand Total]]</f>
        <v>0</v>
      </c>
    </row>
    <row r="435" spans="7:11" ht="15" customHeight="1" x14ac:dyDescent="0.25">
      <c r="G435" s="7">
        <v>472</v>
      </c>
      <c r="H435" s="7">
        <v>1</v>
      </c>
      <c r="I435" s="7"/>
      <c r="J435" s="7">
        <v>1</v>
      </c>
      <c r="K435" s="11">
        <f>Table213[[#This Row],[Fraud]]/Table213[[#This Row],[Grand Total]]</f>
        <v>0</v>
      </c>
    </row>
    <row r="436" spans="7:11" ht="15" customHeight="1" x14ac:dyDescent="0.25">
      <c r="G436" s="7">
        <v>474</v>
      </c>
      <c r="H436" s="7">
        <v>84</v>
      </c>
      <c r="I436" s="7"/>
      <c r="J436" s="7">
        <v>84</v>
      </c>
      <c r="K436" s="11">
        <f>Table213[[#This Row],[Fraud]]/Table213[[#This Row],[Grand Total]]</f>
        <v>0</v>
      </c>
    </row>
    <row r="437" spans="7:11" ht="15" customHeight="1" x14ac:dyDescent="0.25">
      <c r="G437" s="7">
        <v>476</v>
      </c>
      <c r="H437" s="7">
        <v>118</v>
      </c>
      <c r="I437" s="7"/>
      <c r="J437" s="7">
        <v>118</v>
      </c>
      <c r="K437" s="11">
        <f>Table213[[#This Row],[Fraud]]/Table213[[#This Row],[Grand Total]]</f>
        <v>0</v>
      </c>
    </row>
    <row r="438" spans="7:11" ht="15" customHeight="1" x14ac:dyDescent="0.25">
      <c r="G438" s="7">
        <v>478</v>
      </c>
      <c r="H438" s="7">
        <v>65</v>
      </c>
      <c r="I438" s="7"/>
      <c r="J438" s="7">
        <v>65</v>
      </c>
      <c r="K438" s="11">
        <f>Table213[[#This Row],[Fraud]]/Table213[[#This Row],[Grand Total]]</f>
        <v>0</v>
      </c>
    </row>
    <row r="439" spans="7:11" ht="15" customHeight="1" x14ac:dyDescent="0.25">
      <c r="G439" s="7">
        <v>479</v>
      </c>
      <c r="H439" s="7">
        <v>31</v>
      </c>
      <c r="I439" s="7"/>
      <c r="J439" s="7">
        <v>31</v>
      </c>
      <c r="K439" s="11">
        <f>Table213[[#This Row],[Fraud]]/Table213[[#This Row],[Grand Total]]</f>
        <v>0</v>
      </c>
    </row>
    <row r="440" spans="7:11" ht="15" customHeight="1" x14ac:dyDescent="0.25">
      <c r="G440" s="7">
        <v>483</v>
      </c>
      <c r="H440" s="7">
        <v>9</v>
      </c>
      <c r="I440" s="7"/>
      <c r="J440" s="7">
        <v>9</v>
      </c>
      <c r="K440" s="11">
        <f>Table213[[#This Row],[Fraud]]/Table213[[#This Row],[Grand Total]]</f>
        <v>0</v>
      </c>
    </row>
    <row r="441" spans="7:11" ht="15" customHeight="1" x14ac:dyDescent="0.25">
      <c r="G441" s="7">
        <v>487</v>
      </c>
      <c r="H441" s="7">
        <v>31</v>
      </c>
      <c r="I441" s="7"/>
      <c r="J441" s="7">
        <v>31</v>
      </c>
      <c r="K441" s="11">
        <f>Table213[[#This Row],[Fraud]]/Table213[[#This Row],[Grand Total]]</f>
        <v>0</v>
      </c>
    </row>
    <row r="442" spans="7:11" ht="15" customHeight="1" x14ac:dyDescent="0.25">
      <c r="G442" s="7">
        <v>490</v>
      </c>
      <c r="H442" s="7">
        <v>125</v>
      </c>
      <c r="I442" s="7"/>
      <c r="J442" s="7">
        <v>125</v>
      </c>
      <c r="K442" s="11">
        <f>Table213[[#This Row],[Fraud]]/Table213[[#This Row],[Grand Total]]</f>
        <v>0</v>
      </c>
    </row>
    <row r="443" spans="7:11" ht="15" customHeight="1" x14ac:dyDescent="0.25">
      <c r="G443" s="7">
        <v>492</v>
      </c>
      <c r="H443" s="7">
        <v>185</v>
      </c>
      <c r="I443" s="7"/>
      <c r="J443" s="7">
        <v>185</v>
      </c>
      <c r="K443" s="11">
        <f>Table213[[#This Row],[Fraud]]/Table213[[#This Row],[Grand Total]]</f>
        <v>0</v>
      </c>
    </row>
    <row r="444" spans="7:11" ht="15" customHeight="1" x14ac:dyDescent="0.25">
      <c r="G444" s="7">
        <v>493</v>
      </c>
      <c r="H444" s="7">
        <v>53</v>
      </c>
      <c r="I444" s="7"/>
      <c r="J444" s="7">
        <v>53</v>
      </c>
      <c r="K444" s="11">
        <f>Table213[[#This Row],[Fraud]]/Table213[[#This Row],[Grand Total]]</f>
        <v>0</v>
      </c>
    </row>
    <row r="445" spans="7:11" ht="15" customHeight="1" x14ac:dyDescent="0.25">
      <c r="G445" s="7">
        <v>495</v>
      </c>
      <c r="H445" s="7">
        <v>95</v>
      </c>
      <c r="I445" s="7"/>
      <c r="J445" s="7">
        <v>95</v>
      </c>
      <c r="K445" s="11">
        <f>Table213[[#This Row],[Fraud]]/Table213[[#This Row],[Grand Total]]</f>
        <v>0</v>
      </c>
    </row>
    <row r="446" spans="7:11" ht="15" customHeight="1" x14ac:dyDescent="0.25">
      <c r="G446" s="7">
        <v>496</v>
      </c>
      <c r="H446" s="7">
        <v>31</v>
      </c>
      <c r="I446" s="7"/>
      <c r="J446" s="7">
        <v>31</v>
      </c>
      <c r="K446" s="11">
        <f>Table213[[#This Row],[Fraud]]/Table213[[#This Row],[Grand Total]]</f>
        <v>0</v>
      </c>
    </row>
    <row r="447" spans="7:11" ht="15" customHeight="1" x14ac:dyDescent="0.25">
      <c r="G447" s="7">
        <v>500</v>
      </c>
      <c r="H447" s="7">
        <v>169</v>
      </c>
      <c r="I447" s="7"/>
      <c r="J447" s="7">
        <v>169</v>
      </c>
      <c r="K447" s="11">
        <f>Table213[[#This Row],[Fraud]]/Table213[[#This Row],[Grand Total]]</f>
        <v>0</v>
      </c>
    </row>
    <row r="448" spans="7:11" ht="15" customHeight="1" x14ac:dyDescent="0.25">
      <c r="G448" s="7">
        <v>502</v>
      </c>
      <c r="H448" s="7">
        <v>10</v>
      </c>
      <c r="I448" s="7"/>
      <c r="J448" s="7">
        <v>10</v>
      </c>
      <c r="K448" s="11">
        <f>Table213[[#This Row],[Fraud]]/Table213[[#This Row],[Grand Total]]</f>
        <v>0</v>
      </c>
    </row>
    <row r="449" spans="7:11" ht="15" customHeight="1" x14ac:dyDescent="0.25">
      <c r="G449" s="7">
        <v>505</v>
      </c>
      <c r="H449" s="7">
        <v>27</v>
      </c>
      <c r="I449" s="7"/>
      <c r="J449" s="7">
        <v>27</v>
      </c>
      <c r="K449" s="11">
        <f>Table213[[#This Row],[Fraud]]/Table213[[#This Row],[Grand Total]]</f>
        <v>0</v>
      </c>
    </row>
    <row r="450" spans="7:11" ht="15" customHeight="1" x14ac:dyDescent="0.25">
      <c r="G450" s="7">
        <v>514</v>
      </c>
      <c r="H450" s="7">
        <v>290</v>
      </c>
      <c r="I450" s="7"/>
      <c r="J450" s="7">
        <v>290</v>
      </c>
      <c r="K450" s="11">
        <f>Table213[[#This Row],[Fraud]]/Table213[[#This Row],[Grand Total]]</f>
        <v>0</v>
      </c>
    </row>
    <row r="451" spans="7:11" ht="15" customHeight="1" x14ac:dyDescent="0.25">
      <c r="G451" s="7">
        <v>517</v>
      </c>
      <c r="H451" s="7">
        <v>44</v>
      </c>
      <c r="I451" s="7"/>
      <c r="J451" s="7">
        <v>44</v>
      </c>
      <c r="K451" s="11">
        <f>Table213[[#This Row],[Fraud]]/Table213[[#This Row],[Grand Total]]</f>
        <v>0</v>
      </c>
    </row>
    <row r="452" spans="7:11" ht="15" customHeight="1" x14ac:dyDescent="0.25">
      <c r="G452" s="7">
        <v>518</v>
      </c>
      <c r="H452" s="7">
        <v>108</v>
      </c>
      <c r="I452" s="7"/>
      <c r="J452" s="7">
        <v>108</v>
      </c>
      <c r="K452" s="11">
        <f>Table213[[#This Row],[Fraud]]/Table213[[#This Row],[Grand Total]]</f>
        <v>0</v>
      </c>
    </row>
    <row r="453" spans="7:11" ht="15" customHeight="1" x14ac:dyDescent="0.25">
      <c r="G453" s="7">
        <v>524</v>
      </c>
      <c r="H453" s="7">
        <v>84</v>
      </c>
      <c r="I453" s="7"/>
      <c r="J453" s="7">
        <v>84</v>
      </c>
      <c r="K453" s="11">
        <f>Table213[[#This Row],[Fraud]]/Table213[[#This Row],[Grand Total]]</f>
        <v>0</v>
      </c>
    </row>
    <row r="454" spans="7:11" ht="15" customHeight="1" x14ac:dyDescent="0.25">
      <c r="G454" s="7">
        <v>526</v>
      </c>
      <c r="H454" s="7">
        <v>71</v>
      </c>
      <c r="I454" s="7"/>
      <c r="J454" s="7">
        <v>71</v>
      </c>
      <c r="K454" s="11">
        <f>Table213[[#This Row],[Fraud]]/Table213[[#This Row],[Grand Total]]</f>
        <v>0</v>
      </c>
    </row>
    <row r="455" spans="7:11" ht="15" customHeight="1" x14ac:dyDescent="0.25">
      <c r="G455" s="7">
        <v>528</v>
      </c>
      <c r="H455" s="7">
        <v>32</v>
      </c>
      <c r="I455" s="7"/>
      <c r="J455" s="7">
        <v>32</v>
      </c>
      <c r="K455" s="11">
        <f>Table213[[#This Row],[Fraud]]/Table213[[#This Row],[Grand Total]]</f>
        <v>0</v>
      </c>
    </row>
    <row r="456" spans="7:11" ht="15" customHeight="1" x14ac:dyDescent="0.25">
      <c r="G456" s="7">
        <v>529</v>
      </c>
      <c r="H456" s="7">
        <v>1</v>
      </c>
      <c r="I456" s="7"/>
      <c r="J456" s="7">
        <v>1</v>
      </c>
      <c r="K456" s="11">
        <f>Table213[[#This Row],[Fraud]]/Table213[[#This Row],[Grand Total]]</f>
        <v>0</v>
      </c>
    </row>
    <row r="457" spans="7:11" ht="15" customHeight="1" x14ac:dyDescent="0.25">
      <c r="G457" s="7">
        <v>531</v>
      </c>
      <c r="H457" s="7">
        <v>7</v>
      </c>
      <c r="I457" s="7"/>
      <c r="J457" s="7">
        <v>7</v>
      </c>
      <c r="K457" s="11">
        <f>Table213[[#This Row],[Fraud]]/Table213[[#This Row],[Grand Total]]</f>
        <v>0</v>
      </c>
    </row>
    <row r="458" spans="7:11" ht="15" customHeight="1" x14ac:dyDescent="0.25">
      <c r="G458" s="7">
        <v>532</v>
      </c>
      <c r="H458" s="7">
        <v>4</v>
      </c>
      <c r="I458" s="7"/>
      <c r="J458" s="7">
        <v>4</v>
      </c>
      <c r="K458" s="11">
        <f>Table213[[#This Row],[Fraud]]/Table213[[#This Row],[Grand Total]]</f>
        <v>0</v>
      </c>
    </row>
    <row r="459" spans="7:11" ht="15" customHeight="1" x14ac:dyDescent="0.25">
      <c r="G459" s="7">
        <v>534</v>
      </c>
      <c r="H459" s="7">
        <v>20</v>
      </c>
      <c r="I459" s="7"/>
      <c r="J459" s="7">
        <v>20</v>
      </c>
      <c r="K459" s="11">
        <f>Table213[[#This Row],[Fraud]]/Table213[[#This Row],[Grand Total]]</f>
        <v>0</v>
      </c>
    </row>
    <row r="460" spans="7:11" ht="15" customHeight="1" x14ac:dyDescent="0.25">
      <c r="G460" s="7">
        <v>542</v>
      </c>
      <c r="H460" s="7">
        <v>158</v>
      </c>
      <c r="I460" s="7"/>
      <c r="J460" s="7">
        <v>158</v>
      </c>
      <c r="K460" s="11">
        <f>Table213[[#This Row],[Fraud]]/Table213[[#This Row],[Grand Total]]</f>
        <v>0</v>
      </c>
    </row>
    <row r="461" spans="7:11" ht="15" customHeight="1" x14ac:dyDescent="0.25">
      <c r="G461" s="7">
        <v>545</v>
      </c>
      <c r="H461" s="7">
        <v>119</v>
      </c>
      <c r="I461" s="7"/>
      <c r="J461" s="7">
        <v>119</v>
      </c>
      <c r="K461" s="11">
        <f>Table213[[#This Row],[Fraud]]/Table213[[#This Row],[Grand Total]]</f>
        <v>0</v>
      </c>
    </row>
    <row r="462" spans="7:11" ht="15" customHeight="1" x14ac:dyDescent="0.25">
      <c r="G462" s="7">
        <v>546</v>
      </c>
      <c r="H462" s="7">
        <v>247</v>
      </c>
      <c r="I462" s="7"/>
      <c r="J462" s="7">
        <v>247</v>
      </c>
      <c r="K462" s="11">
        <f>Table213[[#This Row],[Fraud]]/Table213[[#This Row],[Grand Total]]</f>
        <v>0</v>
      </c>
    </row>
    <row r="463" spans="7:11" ht="15" customHeight="1" x14ac:dyDescent="0.25">
      <c r="G463" s="7">
        <v>547</v>
      </c>
      <c r="H463" s="7">
        <v>69</v>
      </c>
      <c r="I463" s="7"/>
      <c r="J463" s="7">
        <v>69</v>
      </c>
      <c r="K463" s="11">
        <f>Table213[[#This Row],[Fraud]]/Table213[[#This Row],[Grand Total]]</f>
        <v>0</v>
      </c>
    </row>
    <row r="464" spans="7:11" ht="15" customHeight="1" x14ac:dyDescent="0.25">
      <c r="G464" s="7">
        <v>548</v>
      </c>
      <c r="H464" s="7">
        <v>162</v>
      </c>
      <c r="I464" s="7"/>
      <c r="J464" s="7">
        <v>162</v>
      </c>
      <c r="K464" s="11">
        <f>Table213[[#This Row],[Fraud]]/Table213[[#This Row],[Grand Total]]</f>
        <v>0</v>
      </c>
    </row>
    <row r="465" spans="7:11" ht="15" customHeight="1" x14ac:dyDescent="0.25">
      <c r="G465" s="7">
        <v>549</v>
      </c>
      <c r="H465" s="7">
        <v>15</v>
      </c>
      <c r="I465" s="7"/>
      <c r="J465" s="7">
        <v>15</v>
      </c>
      <c r="K465" s="11">
        <f>Table213[[#This Row],[Fraud]]/Table213[[#This Row],[Grand Total]]</f>
        <v>0</v>
      </c>
    </row>
    <row r="466" spans="7:11" ht="15" customHeight="1" x14ac:dyDescent="0.25">
      <c r="G466" s="7">
        <v>552</v>
      </c>
      <c r="H466" s="7">
        <v>50</v>
      </c>
      <c r="I466" s="7"/>
      <c r="J466" s="7">
        <v>50</v>
      </c>
      <c r="K466" s="11">
        <f>Table213[[#This Row],[Fraud]]/Table213[[#This Row],[Grand Total]]</f>
        <v>0</v>
      </c>
    </row>
    <row r="467" spans="7:11" ht="15" customHeight="1" x14ac:dyDescent="0.25">
      <c r="G467" s="7">
        <v>555</v>
      </c>
      <c r="H467" s="7">
        <v>4</v>
      </c>
      <c r="I467" s="7"/>
      <c r="J467" s="7">
        <v>4</v>
      </c>
      <c r="K467" s="11">
        <f>Table213[[#This Row],[Fraud]]/Table213[[#This Row],[Grand Total]]</f>
        <v>0</v>
      </c>
    </row>
    <row r="468" spans="7:11" ht="15" customHeight="1" x14ac:dyDescent="0.25">
      <c r="G468" s="7">
        <v>565</v>
      </c>
      <c r="H468" s="7">
        <v>187</v>
      </c>
      <c r="I468" s="7"/>
      <c r="J468" s="7">
        <v>187</v>
      </c>
      <c r="K468" s="11">
        <f>Table213[[#This Row],[Fraud]]/Table213[[#This Row],[Grand Total]]</f>
        <v>0</v>
      </c>
    </row>
    <row r="469" spans="7:11" ht="15" customHeight="1" x14ac:dyDescent="0.25">
      <c r="G469" s="7">
        <v>566</v>
      </c>
      <c r="H469" s="7">
        <v>48</v>
      </c>
      <c r="I469" s="7"/>
      <c r="J469" s="7">
        <v>48</v>
      </c>
      <c r="K469" s="11">
        <f>Table213[[#This Row],[Fraud]]/Table213[[#This Row],[Grand Total]]</f>
        <v>0</v>
      </c>
    </row>
    <row r="470" spans="7:11" ht="15" customHeight="1" x14ac:dyDescent="0.25">
      <c r="G470" s="7">
        <v>567</v>
      </c>
      <c r="H470" s="7">
        <v>131</v>
      </c>
      <c r="I470" s="7"/>
      <c r="J470" s="7">
        <v>131</v>
      </c>
      <c r="K470" s="11">
        <f>Table213[[#This Row],[Fraud]]/Table213[[#This Row],[Grand Total]]</f>
        <v>0</v>
      </c>
    </row>
    <row r="471" spans="7:11" ht="15" customHeight="1" x14ac:dyDescent="0.25">
      <c r="G471" s="7">
        <v>569</v>
      </c>
      <c r="H471" s="7">
        <v>32</v>
      </c>
      <c r="I471" s="7"/>
      <c r="J471" s="7">
        <v>32</v>
      </c>
      <c r="K471" s="11">
        <f>Table213[[#This Row],[Fraud]]/Table213[[#This Row],[Grand Total]]</f>
        <v>0</v>
      </c>
    </row>
    <row r="472" spans="7:11" ht="15" customHeight="1" x14ac:dyDescent="0.25">
      <c r="G472" s="7">
        <v>570</v>
      </c>
      <c r="H472" s="7">
        <v>67</v>
      </c>
      <c r="I472" s="7"/>
      <c r="J472" s="7">
        <v>67</v>
      </c>
      <c r="K472" s="11">
        <f>Table213[[#This Row],[Fraud]]/Table213[[#This Row],[Grand Total]]</f>
        <v>0</v>
      </c>
    </row>
    <row r="473" spans="7:11" ht="15" customHeight="1" x14ac:dyDescent="0.25">
      <c r="G473" s="7">
        <v>571</v>
      </c>
      <c r="H473" s="7">
        <v>153</v>
      </c>
      <c r="I473" s="7"/>
      <c r="J473" s="7">
        <v>153</v>
      </c>
      <c r="K473" s="11">
        <f>Table213[[#This Row],[Fraud]]/Table213[[#This Row],[Grand Total]]</f>
        <v>0</v>
      </c>
    </row>
    <row r="474" spans="7:11" ht="15" customHeight="1" x14ac:dyDescent="0.25">
      <c r="G474" s="7">
        <v>573</v>
      </c>
      <c r="H474" s="7">
        <v>106</v>
      </c>
      <c r="I474" s="7"/>
      <c r="J474" s="7">
        <v>106</v>
      </c>
      <c r="K474" s="11">
        <f>Table213[[#This Row],[Fraud]]/Table213[[#This Row],[Grand Total]]</f>
        <v>0</v>
      </c>
    </row>
    <row r="475" spans="7:11" ht="15" customHeight="1" x14ac:dyDescent="0.25">
      <c r="G475" s="7">
        <v>574</v>
      </c>
      <c r="H475" s="7">
        <v>78</v>
      </c>
      <c r="I475" s="7"/>
      <c r="J475" s="7">
        <v>78</v>
      </c>
      <c r="K475" s="11">
        <f>Table213[[#This Row],[Fraud]]/Table213[[#This Row],[Grand Total]]</f>
        <v>0</v>
      </c>
    </row>
    <row r="476" spans="7:11" ht="15" customHeight="1" x14ac:dyDescent="0.25">
      <c r="G476" s="7">
        <v>578</v>
      </c>
      <c r="H476" s="7">
        <v>7</v>
      </c>
      <c r="I476" s="7"/>
      <c r="J476" s="7">
        <v>7</v>
      </c>
      <c r="K476" s="11">
        <f>Table213[[#This Row],[Fraud]]/Table213[[#This Row],[Grand Total]]</f>
        <v>0</v>
      </c>
    </row>
    <row r="477" spans="7:11" ht="15" customHeight="1" x14ac:dyDescent="0.25">
      <c r="G477" s="7">
        <v>580</v>
      </c>
      <c r="H477" s="7">
        <v>3</v>
      </c>
      <c r="I477" s="7"/>
      <c r="J477" s="7">
        <v>3</v>
      </c>
      <c r="K477" s="11">
        <f>Table213[[#This Row],[Fraud]]/Table213[[#This Row],[Grand Total]]</f>
        <v>0</v>
      </c>
    </row>
    <row r="478" spans="7:11" ht="15" customHeight="1" x14ac:dyDescent="0.25">
      <c r="G478" s="7">
        <v>582</v>
      </c>
      <c r="H478" s="7">
        <v>25</v>
      </c>
      <c r="I478" s="7"/>
      <c r="J478" s="7">
        <v>25</v>
      </c>
      <c r="K478" s="11">
        <f>Table213[[#This Row],[Fraud]]/Table213[[#This Row],[Grand Total]]</f>
        <v>0</v>
      </c>
    </row>
    <row r="479" spans="7:11" ht="15" customHeight="1" x14ac:dyDescent="0.25">
      <c r="G479" s="7">
        <v>584</v>
      </c>
      <c r="H479" s="7">
        <v>7</v>
      </c>
      <c r="I479" s="7"/>
      <c r="J479" s="7">
        <v>7</v>
      </c>
      <c r="K479" s="11">
        <f>Table213[[#This Row],[Fraud]]/Table213[[#This Row],[Grand Total]]</f>
        <v>0</v>
      </c>
    </row>
    <row r="480" spans="7:11" ht="15" customHeight="1" x14ac:dyDescent="0.25">
      <c r="G480" s="7">
        <v>585</v>
      </c>
      <c r="H480" s="7">
        <v>58</v>
      </c>
      <c r="I480" s="7"/>
      <c r="J480" s="7">
        <v>58</v>
      </c>
      <c r="K480" s="11">
        <f>Table213[[#This Row],[Fraud]]/Table213[[#This Row],[Grand Total]]</f>
        <v>0</v>
      </c>
    </row>
    <row r="481" spans="7:11" ht="15" customHeight="1" x14ac:dyDescent="0.25">
      <c r="G481" s="7">
        <v>586</v>
      </c>
      <c r="H481" s="7">
        <v>46</v>
      </c>
      <c r="I481" s="7"/>
      <c r="J481" s="7">
        <v>46</v>
      </c>
      <c r="K481" s="11">
        <f>Table213[[#This Row],[Fraud]]/Table213[[#This Row],[Grand Total]]</f>
        <v>0</v>
      </c>
    </row>
    <row r="482" spans="7:11" ht="15" customHeight="1" x14ac:dyDescent="0.25">
      <c r="G482" s="7">
        <v>589</v>
      </c>
      <c r="H482" s="7">
        <v>214</v>
      </c>
      <c r="I482" s="7"/>
      <c r="J482" s="7">
        <v>214</v>
      </c>
      <c r="K482" s="11">
        <f>Table213[[#This Row],[Fraud]]/Table213[[#This Row],[Grand Total]]</f>
        <v>0</v>
      </c>
    </row>
    <row r="483" spans="7:11" ht="15" customHeight="1" x14ac:dyDescent="0.25">
      <c r="G483" s="7">
        <v>590</v>
      </c>
      <c r="H483" s="7">
        <v>197</v>
      </c>
      <c r="I483" s="7"/>
      <c r="J483" s="7">
        <v>197</v>
      </c>
      <c r="K483" s="11">
        <f>Table213[[#This Row],[Fraud]]/Table213[[#This Row],[Grand Total]]</f>
        <v>0</v>
      </c>
    </row>
    <row r="484" spans="7:11" ht="15" customHeight="1" x14ac:dyDescent="0.25">
      <c r="G484" s="7">
        <v>592</v>
      </c>
      <c r="H484" s="7">
        <v>163</v>
      </c>
      <c r="I484" s="7"/>
      <c r="J484" s="7">
        <v>163</v>
      </c>
      <c r="K484" s="11">
        <f>Table213[[#This Row],[Fraud]]/Table213[[#This Row],[Grand Total]]</f>
        <v>0</v>
      </c>
    </row>
    <row r="485" spans="7:11" ht="15" customHeight="1" x14ac:dyDescent="0.25">
      <c r="G485" s="7">
        <v>594</v>
      </c>
      <c r="H485" s="7">
        <v>222</v>
      </c>
      <c r="I485" s="7"/>
      <c r="J485" s="7">
        <v>222</v>
      </c>
      <c r="K485" s="11">
        <f>Table213[[#This Row],[Fraud]]/Table213[[#This Row],[Grand Total]]</f>
        <v>0</v>
      </c>
    </row>
    <row r="486" spans="7:11" ht="15" customHeight="1" x14ac:dyDescent="0.25">
      <c r="G486" s="7">
        <v>597</v>
      </c>
      <c r="H486" s="7">
        <v>77</v>
      </c>
      <c r="I486" s="7"/>
      <c r="J486" s="7">
        <v>77</v>
      </c>
      <c r="K486" s="11">
        <f>Table213[[#This Row],[Fraud]]/Table213[[#This Row],[Grand Total]]</f>
        <v>0</v>
      </c>
    </row>
    <row r="487" spans="7:11" ht="15" customHeight="1" x14ac:dyDescent="0.25">
      <c r="G487" s="7">
        <v>599</v>
      </c>
      <c r="H487" s="7">
        <v>69</v>
      </c>
      <c r="I487" s="7"/>
      <c r="J487" s="7">
        <v>69</v>
      </c>
      <c r="K487" s="11">
        <f>Table213[[#This Row],[Fraud]]/Table213[[#This Row],[Grand Total]]</f>
        <v>0</v>
      </c>
    </row>
    <row r="488" spans="7:11" ht="15" customHeight="1" x14ac:dyDescent="0.25">
      <c r="G488" s="7">
        <v>608</v>
      </c>
      <c r="H488" s="7">
        <v>30</v>
      </c>
      <c r="I488" s="7"/>
      <c r="J488" s="7">
        <v>30</v>
      </c>
      <c r="K488" s="11">
        <f>Table213[[#This Row],[Fraud]]/Table213[[#This Row],[Grand Total]]</f>
        <v>0</v>
      </c>
    </row>
    <row r="489" spans="7:11" ht="15" customHeight="1" x14ac:dyDescent="0.25">
      <c r="G489" s="7">
        <v>610</v>
      </c>
      <c r="H489" s="7">
        <v>49</v>
      </c>
      <c r="I489" s="7"/>
      <c r="J489" s="7">
        <v>49</v>
      </c>
      <c r="K489" s="11">
        <f>Table213[[#This Row],[Fraud]]/Table213[[#This Row],[Grand Total]]</f>
        <v>0</v>
      </c>
    </row>
    <row r="490" spans="7:11" ht="15" customHeight="1" x14ac:dyDescent="0.25">
      <c r="G490" s="7">
        <v>617</v>
      </c>
      <c r="H490" s="7">
        <v>83</v>
      </c>
      <c r="I490" s="7"/>
      <c r="J490" s="7">
        <v>83</v>
      </c>
      <c r="K490" s="11">
        <f>Table213[[#This Row],[Fraud]]/Table213[[#This Row],[Grand Total]]</f>
        <v>0</v>
      </c>
    </row>
    <row r="491" spans="7:11" ht="15" customHeight="1" x14ac:dyDescent="0.25">
      <c r="G491" s="7">
        <v>630</v>
      </c>
      <c r="H491" s="7">
        <v>3</v>
      </c>
      <c r="I491" s="7"/>
      <c r="J491" s="7">
        <v>3</v>
      </c>
      <c r="K491" s="11">
        <f>Table213[[#This Row],[Fraud]]/Table213[[#This Row],[Grand Total]]</f>
        <v>0</v>
      </c>
    </row>
    <row r="492" spans="7:11" ht="15" customHeight="1" x14ac:dyDescent="0.25">
      <c r="G492" s="7">
        <v>642</v>
      </c>
      <c r="H492" s="7">
        <v>39</v>
      </c>
      <c r="I492" s="7"/>
      <c r="J492" s="7">
        <v>39</v>
      </c>
      <c r="K492" s="11">
        <f>Table213[[#This Row],[Fraud]]/Table213[[#This Row],[Grand Total]]</f>
        <v>0</v>
      </c>
    </row>
    <row r="493" spans="7:11" ht="15" customHeight="1" x14ac:dyDescent="0.25">
      <c r="G493" s="7">
        <v>649</v>
      </c>
      <c r="H493" s="7">
        <v>9</v>
      </c>
      <c r="I493" s="7"/>
      <c r="J493" s="7">
        <v>9</v>
      </c>
      <c r="K493" s="11">
        <f>Table213[[#This Row],[Fraud]]/Table213[[#This Row],[Grand Total]]</f>
        <v>0</v>
      </c>
    </row>
    <row r="494" spans="7:11" ht="15" customHeight="1" x14ac:dyDescent="0.25">
      <c r="G494" s="7">
        <v>656</v>
      </c>
      <c r="H494" s="7">
        <v>67</v>
      </c>
      <c r="I494" s="7"/>
      <c r="J494" s="7">
        <v>67</v>
      </c>
      <c r="K494" s="11">
        <f>Table213[[#This Row],[Fraud]]/Table213[[#This Row],[Grand Total]]</f>
        <v>0</v>
      </c>
    </row>
    <row r="495" spans="7:11" ht="15" customHeight="1" x14ac:dyDescent="0.25">
      <c r="G495" s="7">
        <v>661</v>
      </c>
      <c r="H495" s="7">
        <v>172</v>
      </c>
      <c r="I495" s="7"/>
      <c r="J495" s="7">
        <v>172</v>
      </c>
      <c r="K495" s="11">
        <f>Table213[[#This Row],[Fraud]]/Table213[[#This Row],[Grand Total]]</f>
        <v>0</v>
      </c>
    </row>
    <row r="496" spans="7:11" ht="15" customHeight="1" x14ac:dyDescent="0.25">
      <c r="G496" s="7">
        <v>667</v>
      </c>
      <c r="H496" s="7">
        <v>56</v>
      </c>
      <c r="I496" s="7"/>
      <c r="J496" s="7">
        <v>56</v>
      </c>
      <c r="K496" s="11">
        <f>Table213[[#This Row],[Fraud]]/Table213[[#This Row],[Grand Total]]</f>
        <v>0</v>
      </c>
    </row>
    <row r="497" spans="7:11" ht="15" customHeight="1" x14ac:dyDescent="0.25">
      <c r="G497" s="7">
        <v>669</v>
      </c>
      <c r="H497" s="7">
        <v>11</v>
      </c>
      <c r="I497" s="7"/>
      <c r="J497" s="7">
        <v>11</v>
      </c>
      <c r="K497" s="11">
        <f>Table213[[#This Row],[Fraud]]/Table213[[#This Row],[Grand Total]]</f>
        <v>0</v>
      </c>
    </row>
    <row r="498" spans="7:11" ht="15" customHeight="1" x14ac:dyDescent="0.25">
      <c r="G498" s="7">
        <v>670</v>
      </c>
      <c r="H498" s="7">
        <v>69</v>
      </c>
      <c r="I498" s="7"/>
      <c r="J498" s="7">
        <v>69</v>
      </c>
      <c r="K498" s="11">
        <f>Table213[[#This Row],[Fraud]]/Table213[[#This Row],[Grand Total]]</f>
        <v>0</v>
      </c>
    </row>
    <row r="499" spans="7:11" ht="15" customHeight="1" x14ac:dyDescent="0.25">
      <c r="G499" s="7">
        <v>673</v>
      </c>
      <c r="H499" s="7">
        <v>19</v>
      </c>
      <c r="I499" s="7"/>
      <c r="J499" s="7">
        <v>19</v>
      </c>
      <c r="K499" s="11">
        <f>Table213[[#This Row],[Fraud]]/Table213[[#This Row],[Grand Total]]</f>
        <v>0</v>
      </c>
    </row>
    <row r="500" spans="7:11" ht="15" customHeight="1" x14ac:dyDescent="0.25">
      <c r="G500" s="7">
        <v>681</v>
      </c>
      <c r="H500" s="7">
        <v>114</v>
      </c>
      <c r="I500" s="7"/>
      <c r="J500" s="7">
        <v>114</v>
      </c>
      <c r="K500" s="11">
        <f>Table213[[#This Row],[Fraud]]/Table213[[#This Row],[Grand Total]]</f>
        <v>0</v>
      </c>
    </row>
    <row r="501" spans="7:11" ht="15" customHeight="1" x14ac:dyDescent="0.25">
      <c r="G501" s="7">
        <v>686</v>
      </c>
      <c r="H501" s="7">
        <v>161</v>
      </c>
      <c r="I501" s="7"/>
      <c r="J501" s="7">
        <v>161</v>
      </c>
      <c r="K501" s="11">
        <f>Table213[[#This Row],[Fraud]]/Table213[[#This Row],[Grand Total]]</f>
        <v>0</v>
      </c>
    </row>
    <row r="502" spans="7:11" ht="15" customHeight="1" x14ac:dyDescent="0.25">
      <c r="G502" s="7">
        <v>687</v>
      </c>
      <c r="H502" s="7">
        <v>243</v>
      </c>
      <c r="I502" s="7"/>
      <c r="J502" s="7">
        <v>243</v>
      </c>
      <c r="K502" s="11">
        <f>Table213[[#This Row],[Fraud]]/Table213[[#This Row],[Grand Total]]</f>
        <v>0</v>
      </c>
    </row>
    <row r="503" spans="7:11" ht="15" customHeight="1" x14ac:dyDescent="0.25">
      <c r="G503" s="7">
        <v>688</v>
      </c>
      <c r="H503" s="7">
        <v>253</v>
      </c>
      <c r="I503" s="7"/>
      <c r="J503" s="7">
        <v>253</v>
      </c>
      <c r="K503" s="11">
        <f>Table213[[#This Row],[Fraud]]/Table213[[#This Row],[Grand Total]]</f>
        <v>0</v>
      </c>
    </row>
    <row r="504" spans="7:11" ht="15" customHeight="1" x14ac:dyDescent="0.25">
      <c r="G504" s="7">
        <v>690</v>
      </c>
      <c r="H504" s="7">
        <v>158</v>
      </c>
      <c r="I504" s="7"/>
      <c r="J504" s="7">
        <v>158</v>
      </c>
      <c r="K504" s="11">
        <f>Table213[[#This Row],[Fraud]]/Table213[[#This Row],[Grand Total]]</f>
        <v>0</v>
      </c>
    </row>
    <row r="505" spans="7:11" ht="15" customHeight="1" x14ac:dyDescent="0.25">
      <c r="G505" s="7">
        <v>691</v>
      </c>
      <c r="H505" s="7">
        <v>153</v>
      </c>
      <c r="I505" s="7"/>
      <c r="J505" s="7">
        <v>153</v>
      </c>
      <c r="K505" s="11">
        <f>Table213[[#This Row],[Fraud]]/Table213[[#This Row],[Grand Total]]</f>
        <v>0</v>
      </c>
    </row>
    <row r="506" spans="7:11" ht="15" customHeight="1" x14ac:dyDescent="0.25">
      <c r="G506" s="7">
        <v>692</v>
      </c>
      <c r="H506" s="7">
        <v>235</v>
      </c>
      <c r="I506" s="7"/>
      <c r="J506" s="7">
        <v>235</v>
      </c>
      <c r="K506" s="11">
        <f>Table213[[#This Row],[Fraud]]/Table213[[#This Row],[Grand Total]]</f>
        <v>0</v>
      </c>
    </row>
    <row r="507" spans="7:11" ht="15" customHeight="1" x14ac:dyDescent="0.25">
      <c r="G507" s="7">
        <v>694</v>
      </c>
      <c r="H507" s="7">
        <v>81</v>
      </c>
      <c r="I507" s="7"/>
      <c r="J507" s="7">
        <v>81</v>
      </c>
      <c r="K507" s="11">
        <f>Table213[[#This Row],[Fraud]]/Table213[[#This Row],[Grand Total]]</f>
        <v>0</v>
      </c>
    </row>
    <row r="508" spans="7:11" ht="15" customHeight="1" x14ac:dyDescent="0.25">
      <c r="G508" s="7">
        <v>698</v>
      </c>
      <c r="H508" s="7">
        <v>2</v>
      </c>
      <c r="I508" s="7"/>
      <c r="J508" s="7">
        <v>2</v>
      </c>
      <c r="K508" s="11">
        <f>Table213[[#This Row],[Fraud]]/Table213[[#This Row],[Grand Total]]</f>
        <v>0</v>
      </c>
    </row>
    <row r="509" spans="7:11" ht="15" customHeight="1" x14ac:dyDescent="0.25">
      <c r="G509" s="7">
        <v>705</v>
      </c>
      <c r="H509" s="7">
        <v>63</v>
      </c>
      <c r="I509" s="7"/>
      <c r="J509" s="7">
        <v>63</v>
      </c>
      <c r="K509" s="11">
        <f>Table213[[#This Row],[Fraud]]/Table213[[#This Row],[Grand Total]]</f>
        <v>0</v>
      </c>
    </row>
    <row r="510" spans="7:11" ht="15" customHeight="1" x14ac:dyDescent="0.25">
      <c r="G510" s="7">
        <v>709</v>
      </c>
      <c r="H510" s="7">
        <v>82</v>
      </c>
      <c r="I510" s="7"/>
      <c r="J510" s="7">
        <v>82</v>
      </c>
      <c r="K510" s="11">
        <f>Table213[[#This Row],[Fraud]]/Table213[[#This Row],[Grand Total]]</f>
        <v>0</v>
      </c>
    </row>
    <row r="511" spans="7:11" ht="15" customHeight="1" x14ac:dyDescent="0.25">
      <c r="G511" s="7">
        <v>710</v>
      </c>
      <c r="H511" s="7">
        <v>54</v>
      </c>
      <c r="I511" s="7"/>
      <c r="J511" s="7">
        <v>54</v>
      </c>
      <c r="K511" s="11">
        <f>Table213[[#This Row],[Fraud]]/Table213[[#This Row],[Grand Total]]</f>
        <v>0</v>
      </c>
    </row>
    <row r="512" spans="7:11" ht="15" customHeight="1" x14ac:dyDescent="0.25">
      <c r="G512" s="7">
        <v>712</v>
      </c>
      <c r="H512" s="7">
        <v>1</v>
      </c>
      <c r="I512" s="7"/>
      <c r="J512" s="7">
        <v>1</v>
      </c>
      <c r="K512" s="11">
        <f>Table213[[#This Row],[Fraud]]/Table213[[#This Row],[Grand Total]]</f>
        <v>0</v>
      </c>
    </row>
    <row r="513" spans="7:11" ht="15" customHeight="1" x14ac:dyDescent="0.25">
      <c r="G513" s="7">
        <v>714</v>
      </c>
      <c r="H513" s="7">
        <v>19</v>
      </c>
      <c r="I513" s="7"/>
      <c r="J513" s="7">
        <v>19</v>
      </c>
      <c r="K513" s="11">
        <f>Table213[[#This Row],[Fraud]]/Table213[[#This Row],[Grand Total]]</f>
        <v>0</v>
      </c>
    </row>
    <row r="514" spans="7:11" ht="15" customHeight="1" x14ac:dyDescent="0.25">
      <c r="G514" s="7">
        <v>715</v>
      </c>
      <c r="H514" s="7">
        <v>56</v>
      </c>
      <c r="I514" s="7"/>
      <c r="J514" s="7">
        <v>56</v>
      </c>
      <c r="K514" s="11">
        <f>Table213[[#This Row],[Fraud]]/Table213[[#This Row],[Grand Total]]</f>
        <v>0</v>
      </c>
    </row>
    <row r="515" spans="7:11" ht="15" customHeight="1" x14ac:dyDescent="0.25">
      <c r="G515" s="7">
        <v>716</v>
      </c>
      <c r="H515" s="7">
        <v>3</v>
      </c>
      <c r="I515" s="7"/>
      <c r="J515" s="7">
        <v>3</v>
      </c>
      <c r="K515" s="11">
        <f>Table213[[#This Row],[Fraud]]/Table213[[#This Row],[Grand Total]]</f>
        <v>0</v>
      </c>
    </row>
    <row r="516" spans="7:11" ht="15" customHeight="1" x14ac:dyDescent="0.25">
      <c r="G516" s="7">
        <v>718</v>
      </c>
      <c r="H516" s="7">
        <v>34</v>
      </c>
      <c r="I516" s="7"/>
      <c r="J516" s="7">
        <v>34</v>
      </c>
      <c r="K516" s="11">
        <f>Table213[[#This Row],[Fraud]]/Table213[[#This Row],[Grand Total]]</f>
        <v>0</v>
      </c>
    </row>
  </sheetData>
  <mergeCells count="8">
    <mergeCell ref="X1:AB1"/>
    <mergeCell ref="Y10:AB19"/>
    <mergeCell ref="B10:E17"/>
    <mergeCell ref="A1:E1"/>
    <mergeCell ref="M10:P17"/>
    <mergeCell ref="G1:K1"/>
    <mergeCell ref="R1:T1"/>
    <mergeCell ref="S10:V24"/>
  </mergeCells>
  <pageMargins left="0.7" right="0.7" top="0.75" bottom="0.75" header="0.3" footer="0.3"/>
  <ignoredErrors>
    <ignoredError sqref="Y3:AA3" numberStoredAsText="1"/>
  </ignoredErrors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01_column_inventory</vt:lpstr>
      <vt:lpstr>02_schema_validation</vt:lpstr>
      <vt:lpstr>03_missing_values</vt:lpstr>
      <vt:lpstr>04_duplicate_cardinal_analysis</vt:lpstr>
      <vt:lpstr>05_categorical_distribution</vt:lpstr>
      <vt:lpstr>06_descriptive_statistics</vt:lpstr>
      <vt:lpstr>07_business_behavior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Posadas Paul</dc:creator>
  <cp:lastModifiedBy>Posadas Paul</cp:lastModifiedBy>
  <dcterms:created xsi:type="dcterms:W3CDTF">2026-08-02T20:54:07Z</dcterms:created>
  <dcterms:modified xsi:type="dcterms:W3CDTF">2026-08-09T21:49:34Z</dcterms:modified>
</cp:coreProperties>
</file>